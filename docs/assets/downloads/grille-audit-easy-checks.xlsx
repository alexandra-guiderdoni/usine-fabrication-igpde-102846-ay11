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Échantillon RGAA" sheetId="2" state="visible" r:id="rId2"/>
    <sheet xmlns:r="http://schemas.openxmlformats.org/officeDocument/2006/relationships" name="1. Accueil" sheetId="3" state="visible" r:id="rId3"/>
    <sheet xmlns:r="http://schemas.openxmlformats.org/officeDocument/2006/relationships" name="2. Mentions légales" sheetId="4" state="visible" r:id="rId4"/>
    <sheet xmlns:r="http://schemas.openxmlformats.org/officeDocument/2006/relationships" name="3. Déclaration a11y" sheetId="5" state="visible" r:id="rId5"/>
    <sheet xmlns:r="http://schemas.openxmlformats.org/officeDocument/2006/relationships" name="4. Plan du site" sheetId="6" state="visible" r:id="rId6"/>
    <sheet xmlns:r="http://schemas.openxmlformats.org/officeDocument/2006/relationships" name="5. Contact" sheetId="7" state="visible" r:id="rId7"/>
    <sheet xmlns:r="http://schemas.openxmlformats.org/officeDocument/2006/relationships" name="6. Aide" sheetId="8" state="visible" r:id="rId8"/>
    <sheet xmlns:r="http://schemas.openxmlformats.org/officeDocument/2006/relationships" name="7. Authentification" sheetId="9" state="visible" r:id="rId9"/>
    <sheet xmlns:r="http://schemas.openxmlformats.org/officeDocument/2006/relationships" name="8. Recherche" sheetId="10" state="visible" r:id="rId10"/>
    <sheet xmlns:r="http://schemas.openxmlformats.org/officeDocument/2006/relationships" name="9. Document" sheetId="11" state="visible" r:id="rId11"/>
    <sheet xmlns:r="http://schemas.openxmlformats.org/officeDocument/2006/relationships" name="10. Article" sheetId="12" state="visible" r:id="rId12"/>
    <sheet xmlns:r="http://schemas.openxmlformats.org/officeDocument/2006/relationships" name="11. Formulaire" sheetId="13" state="visible" r:id="rId13"/>
    <sheet xmlns:r="http://schemas.openxmlformats.org/officeDocument/2006/relationships" name="12. Liste" sheetId="14" state="visible" r:id="rId14"/>
    <sheet xmlns:r="http://schemas.openxmlformats.org/officeDocument/2006/relationships" name="Exemple" sheetId="15" state="visible" r:id="rId15"/>
    <sheet xmlns:r="http://schemas.openxmlformats.org/officeDocument/2006/relationships" name="Synthès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,0 %"/>
  </numFmts>
  <fonts count="9">
    <font>
      <name val="Calibri"/>
      <family val="2"/>
      <color theme="1"/>
      <sz val="11"/>
      <scheme val="minor"/>
    </font>
    <font>
      <name val="Calibri"/>
      <b val="1"/>
      <color rgb="00000091"/>
      <sz val="20"/>
    </font>
    <font>
      <name val="Calibri"/>
      <sz val="14"/>
    </font>
    <font>
      <name val="Calibri"/>
      <b val="1"/>
      <color rgb="00000091"/>
      <sz val="16"/>
    </font>
    <font>
      <name val="Calibri"/>
      <b val="1"/>
      <color rgb="009F0000"/>
      <sz val="16"/>
    </font>
    <font>
      <name val="Calibri"/>
      <b val="1"/>
      <color rgb="009F0000"/>
      <sz val="14"/>
    </font>
    <font>
      <name val="Calibri"/>
      <b val="1"/>
      <sz val="14"/>
    </font>
    <font>
      <name val="Calibri"/>
      <b val="1"/>
      <color rgb="00FFFFFF"/>
      <sz val="14"/>
    </font>
    <font>
      <name val="Calibri"/>
      <b val="1"/>
      <color rgb="00000091"/>
      <sz val="14"/>
    </font>
  </fonts>
  <fills count="11">
    <fill>
      <patternFill/>
    </fill>
    <fill>
      <patternFill patternType="gray125"/>
    </fill>
    <fill>
      <patternFill patternType="solid">
        <fgColor rgb="00FFE5E5"/>
        <bgColor rgb="00FFE5E5"/>
      </patternFill>
    </fill>
    <fill>
      <patternFill patternType="solid">
        <fgColor rgb="00000091"/>
        <bgColor rgb="00000091"/>
      </patternFill>
    </fill>
    <fill>
      <patternFill patternType="solid">
        <fgColor rgb="00E3E3FD"/>
        <bgColor rgb="00E3E3FD"/>
      </patternFill>
    </fill>
    <fill>
      <patternFill patternType="solid">
        <fgColor rgb="00E1F5FE"/>
        <bgColor rgb="00E1F5FE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C8E6C9"/>
        <bgColor rgb="00C8E6C9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left/>
      <right/>
      <top style="thin">
        <color rgb="00E5E5E5"/>
      </top>
      <bottom/>
      <diagonal/>
    </border>
    <border>
      <left/>
      <right style="thin">
        <color rgb="00E5E5E5"/>
      </right>
      <top style="thin">
        <color rgb="00E5E5E5"/>
      </top>
      <bottom/>
      <diagonal/>
    </border>
    <border>
      <left/>
      <right/>
      <top style="thin">
        <color rgb="00E5E5E5"/>
      </top>
      <bottom style="thin">
        <color rgb="00E5E5E5"/>
      </bottom>
      <diagonal/>
    </border>
    <border>
      <left/>
      <right style="thin">
        <color rgb="00E5E5E5"/>
      </right>
      <top style="thin">
        <color rgb="00E5E5E5"/>
      </top>
      <bottom style="thin">
        <color rgb="00E5E5E5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workbookViewId="0">
      <selection activeCell="A1" sqref="A1"/>
    </sheetView>
  </sheetViews>
  <sheetFormatPr baseColWidth="8" defaultRowHeight="15"/>
  <cols>
    <col width="12" customWidth="1" min="1" max="1"/>
    <col width="130" customWidth="1" min="2" max="2"/>
  </cols>
  <sheetData>
    <row r="1" ht="38" customHeight="1">
      <c r="A1" s="1" t="inlineStr">
        <is>
          <t>IGPDE - Formation 102638 - Grille d'audit 13 Easy Checks du W3C</t>
        </is>
      </c>
    </row>
    <row r="3" ht="26" customHeight="1">
      <c r="A3" s="2" t="inlineStr"/>
      <c r="B3" s="2" t="inlineStr"/>
    </row>
    <row r="4" ht="26" customHeight="1">
      <c r="A4" s="3" t="inlineStr">
        <is>
          <t>Objet</t>
        </is>
      </c>
      <c r="B4" s="2" t="inlineStr"/>
    </row>
    <row r="5" ht="26" customHeight="1">
      <c r="A5" s="2" t="inlineStr"/>
      <c r="B5" s="2" t="inlineStr">
        <is>
          <t>Grille de diagnostic rapide sur les 13 Easy Checks du W3C WAI, alignée sur le RGAA 4.1.2.</t>
        </is>
      </c>
    </row>
    <row r="6" ht="26" customHeight="1">
      <c r="A6" s="2" t="inlineStr"/>
      <c r="B6" s="2" t="inlineStr"/>
    </row>
    <row r="7" ht="26" customHeight="1">
      <c r="A7" s="4" t="inlineStr">
        <is>
          <t>Avertissement</t>
        </is>
      </c>
      <c r="B7" s="5" t="inlineStr"/>
    </row>
    <row r="8" ht="26" customHeight="1">
      <c r="A8" s="5" t="inlineStr"/>
      <c r="B8" s="6" t="inlineStr">
        <is>
          <t>Cet outil est un outil de SENSIBILISATION et de pré-diagnostic.</t>
        </is>
      </c>
    </row>
    <row r="9" ht="26" customHeight="1">
      <c r="A9" s="5" t="inlineStr"/>
      <c r="B9" s="6" t="inlineStr">
        <is>
          <t>Il ne remplace en aucun cas un audit RGAA formel (106 critères sur 13 thématiques) réalisé par un expert certifié.</t>
        </is>
      </c>
    </row>
    <row r="10" ht="26" customHeight="1">
      <c r="A10" s="5" t="inlineStr"/>
      <c r="B10" s="6" t="inlineStr">
        <is>
          <t>Le « Taux de conformité Easy Checks » calculé ici n'est PAS le taux de conformité RGAA officiel publié en déclaration d'accessibilité.</t>
        </is>
      </c>
    </row>
    <row r="11" ht="26" customHeight="1">
      <c r="A11" s="2" t="inlineStr"/>
      <c r="B11" s="2" t="inlineStr"/>
    </row>
    <row r="12" ht="26" customHeight="1">
      <c r="A12" s="3" t="inlineStr">
        <is>
          <t>Préparer l'audit</t>
        </is>
      </c>
      <c r="B12" s="2" t="inlineStr"/>
    </row>
    <row r="13" ht="26" customHeight="1">
      <c r="A13" s="7" t="inlineStr">
        <is>
          <t>1.</t>
        </is>
      </c>
      <c r="B13" s="2" t="inlineStr">
        <is>
          <t>Choisir 1 à 5 pages représentatives (accueil, formulaire, résultats de recherche, contact).</t>
        </is>
      </c>
    </row>
    <row r="14" ht="26" customHeight="1">
      <c r="A14" s="7" t="inlineStr">
        <is>
          <t>2.</t>
        </is>
      </c>
      <c r="B14" s="2" t="inlineStr">
        <is>
          <t>Ouvrir dans un navigateur récent (Chrome, Firefox, Edge).</t>
        </is>
      </c>
    </row>
    <row r="15" ht="26" customHeight="1">
      <c r="A15" s="7" t="inlineStr">
        <is>
          <t>3.</t>
        </is>
      </c>
      <c r="B15" s="2" t="inlineStr">
        <is>
          <t>Installer la boîte à outils a11y : https://a11y-tools.netlify.app/</t>
        </is>
      </c>
    </row>
    <row r="16" ht="26" customHeight="1">
      <c r="A16" s="7" t="inlineStr">
        <is>
          <t>4.</t>
        </is>
      </c>
      <c r="B16" s="2" t="inlineStr">
        <is>
          <t>Prévoir un casque audio et un lecteur d'écran (VoiceOver sur Mac, NVDA sur Windows).</t>
        </is>
      </c>
    </row>
    <row r="17" ht="26" customHeight="1">
      <c r="A17" s="2" t="inlineStr"/>
      <c r="B17" s="2" t="inlineStr"/>
    </row>
    <row r="18" ht="26" customHeight="1">
      <c r="A18" s="3" t="inlineStr">
        <is>
          <t>Pour chaque critère, renseigner</t>
        </is>
      </c>
      <c r="B18" s="2" t="inlineStr"/>
    </row>
    <row r="19" ht="26" customHeight="1">
      <c r="A19" s="7" t="inlineStr">
        <is>
          <t>1.</t>
        </is>
      </c>
      <c r="B19" s="2" t="inlineStr">
        <is>
          <t>Verdict : C (Conforme), NC (Non conforme), NA (Non applicable).</t>
        </is>
      </c>
    </row>
    <row r="20" ht="26" customHeight="1">
      <c r="A20" s="7" t="inlineStr">
        <is>
          <t>2.</t>
        </is>
      </c>
      <c r="B20" s="2" t="inlineStr">
        <is>
          <t>Sévérité : Bloquant, Gênant, Mineur, Info (uniquement si NC).</t>
        </is>
      </c>
    </row>
    <row r="21" ht="26" customHeight="1">
      <c r="A21" s="7" t="inlineStr">
        <is>
          <t>3.</t>
        </is>
      </c>
      <c r="B21" s="2" t="inlineStr">
        <is>
          <t>Constat : ce que vous avez observé concrètement.</t>
        </is>
      </c>
    </row>
    <row r="22" ht="26" customHeight="1">
      <c r="A22" s="7" t="inlineStr">
        <is>
          <t>4.</t>
        </is>
      </c>
      <c r="B22" s="2" t="inlineStr">
        <is>
          <t>Correctif : action que l'équipe web devra mener.</t>
        </is>
      </c>
    </row>
    <row r="23" ht="26" customHeight="1">
      <c r="A23" s="7" t="inlineStr">
        <is>
          <t>5.</t>
        </is>
      </c>
      <c r="B23" s="2" t="inlineStr">
        <is>
          <t>Preuve : URL, capture d'écran, sélecteur CSS, extrait de code.</t>
        </is>
      </c>
    </row>
    <row r="24" ht="26" customHeight="1">
      <c r="A24" s="2" t="inlineStr"/>
      <c r="B24" s="2" t="inlineStr"/>
    </row>
    <row r="25" ht="21" customHeight="1">
      <c r="A25" s="3" t="inlineStr">
        <is>
          <t>Règle pour l'exercice en binômes</t>
        </is>
      </c>
      <c r="B25" s="2" t="n"/>
    </row>
    <row r="26" ht="30" customHeight="1">
      <c r="A26" s="7" t="inlineStr">
        <is>
          <t>1.</t>
        </is>
      </c>
      <c r="B26" s="34" t="inlineStr">
        <is>
          <t>Les pages sont réparties entre plusieurs groupes : chaque binôme audite uniquement les pages attribuées.</t>
        </is>
      </c>
    </row>
    <row r="27" ht="30" customHeight="1">
      <c r="A27" s="7" t="inlineStr">
        <is>
          <t>2.</t>
        </is>
      </c>
      <c r="B27" s="34" t="inlineStr">
        <is>
          <t>Pour une page donnée, une seule occurrence correctement prouvée suffit à renseigner NC sur le critère ciblé.</t>
        </is>
      </c>
    </row>
    <row r="28" ht="30" customHeight="1">
      <c r="A28" s="7" t="inlineStr">
        <is>
          <t>3.</t>
        </is>
      </c>
      <c r="B28" s="34" t="inlineStr">
        <is>
          <t>Les autres occurrences éventuelles sont des bonus utiles pour la restitution, mais elles ne sont pas exigées pour invalider le critère.</t>
        </is>
      </c>
    </row>
    <row r="29" ht="26" customHeight="1">
      <c r="A29" s="7" t="n"/>
      <c r="B29" s="2" t="n"/>
    </row>
    <row r="30" ht="26" customHeight="1">
      <c r="A30" s="3" t="inlineStr">
        <is>
          <t>Conventions de verdict</t>
        </is>
      </c>
      <c r="B30" s="2" t="inlineStr"/>
    </row>
    <row r="31" ht="26" customHeight="1">
      <c r="A31" s="7" t="inlineStr">
        <is>
          <t>C</t>
        </is>
      </c>
      <c r="B31" s="2" t="inlineStr">
        <is>
          <t>Conforme - le critère est respecté sans réserve.</t>
        </is>
      </c>
    </row>
    <row r="32" ht="26" customHeight="1">
      <c r="A32" s="7" t="inlineStr">
        <is>
          <t>NC</t>
        </is>
      </c>
      <c r="B32" s="2" t="inlineStr">
        <is>
          <t>Non conforme - un défaut objectif a été constaté.</t>
        </is>
      </c>
    </row>
    <row r="33" ht="26" customHeight="1">
      <c r="A33" s="7" t="inlineStr">
        <is>
          <t>NA</t>
        </is>
      </c>
      <c r="B33" s="2" t="inlineStr">
        <is>
          <t>Non applicable - le critère ne s'applique pas à cette page.</t>
        </is>
      </c>
    </row>
    <row r="34" ht="26" customHeight="1">
      <c r="A34" s="2" t="inlineStr"/>
      <c r="B34" s="2" t="inlineStr"/>
    </row>
    <row r="35" ht="26" customHeight="1">
      <c r="A35" s="3" t="inlineStr">
        <is>
          <t>Conventions de sévérité</t>
        </is>
      </c>
      <c r="B35" s="2" t="inlineStr"/>
    </row>
    <row r="36" ht="26" customHeight="1">
      <c r="A36" s="7" t="inlineStr">
        <is>
          <t>Bloquant</t>
        </is>
      </c>
      <c r="B36" s="2" t="inlineStr">
        <is>
          <t>Certaines personnes sont exclues du service.</t>
        </is>
      </c>
    </row>
    <row r="37" ht="26" customHeight="1">
      <c r="A37" s="7" t="inlineStr">
        <is>
          <t>Gênant</t>
        </is>
      </c>
      <c r="B37" s="2" t="inlineStr">
        <is>
          <t>Certaines personnes ont des difficultés importantes.</t>
        </is>
      </c>
    </row>
    <row r="38" ht="26" customHeight="1">
      <c r="A38" s="7" t="inlineStr">
        <is>
          <t>Mineur</t>
        </is>
      </c>
      <c r="B38" s="2" t="inlineStr">
        <is>
          <t>L'ergonomie peut être améliorée mais l'accès reste possible.</t>
        </is>
      </c>
    </row>
    <row r="39" ht="26" customHeight="1">
      <c r="A39" s="7" t="inlineStr">
        <is>
          <t>Info</t>
        </is>
      </c>
      <c r="B39" s="2" t="inlineStr">
        <is>
          <t>Observation à des fins d'amélioration, sans blocage.</t>
        </is>
      </c>
    </row>
    <row r="40" ht="26" customHeight="1">
      <c r="A40" s="2" t="inlineStr"/>
      <c r="B40" s="2" t="inlineStr"/>
    </row>
    <row r="41" ht="26" customHeight="1">
      <c r="A41" s="3" t="inlineStr">
        <is>
          <t>Onglets du classeur</t>
        </is>
      </c>
      <c r="B41" s="2" t="inlineStr"/>
    </row>
    <row r="42" ht="26" customHeight="1">
      <c r="A42" s="2" t="inlineStr"/>
      <c r="B42" s="2" t="inlineStr">
        <is>
          <t>Mode d'emploi : ce document.</t>
        </is>
      </c>
    </row>
    <row r="43" ht="26" customHeight="1">
      <c r="A43" s="2" t="inlineStr"/>
      <c r="B43" s="2" t="inlineStr">
        <is>
          <t>Grille vierge : 13 critères à remplir pour la page auditée.</t>
        </is>
      </c>
    </row>
    <row r="44" ht="26" customHeight="1">
      <c r="A44" s="2" t="inlineStr"/>
      <c r="B44" s="2" t="inlineStr">
        <is>
          <t>Exemple : audit illustratif sur une page type.</t>
        </is>
      </c>
    </row>
    <row r="45" ht="26" customHeight="1">
      <c r="A45" s="2" t="inlineStr"/>
      <c r="B45" s="2" t="inlineStr">
        <is>
          <t>Synthèse : décompte automatique et taux de conformité multi-pages.</t>
        </is>
      </c>
    </row>
    <row r="46">
      <c r="A46" s="2" t="inlineStr"/>
      <c r="B46" s="2" t="inlineStr"/>
    </row>
    <row r="47">
      <c r="A47" s="3" t="inlineStr">
        <is>
          <t>Références</t>
        </is>
      </c>
      <c r="B47" s="2" t="inlineStr"/>
    </row>
    <row r="48">
      <c r="A48" s="2" t="inlineStr"/>
      <c r="B48" s="2" t="inlineStr">
        <is>
          <t>W3C Easy Checks : https://www.w3.org/WAI/test-evaluate/easy-checks/</t>
        </is>
      </c>
    </row>
    <row r="49">
      <c r="A49" s="2" t="inlineStr"/>
      <c r="B49" s="2" t="inlineStr">
        <is>
          <t>RGAA 4.1.2 : https://accessibilite.numerique.gouv.fr/</t>
        </is>
      </c>
    </row>
    <row r="50">
      <c r="A50" s="2" t="inlineStr"/>
      <c r="B50" s="2" t="inlineStr">
        <is>
          <t>Inspiration méthodologique : grille Easy Checks de beta.gouv.fr.</t>
        </is>
      </c>
    </row>
  </sheetData>
  <mergeCells count="1">
    <mergeCell ref="A1:B1"/>
  </mergeCells>
  <printOptions horizontalCentered="1"/>
  <pageMargins left="0.4" right="0.4" top="0.5" bottom="0.5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22" customWidth="1" min="3" max="3"/>
    <col width="28" customWidth="1" min="4" max="4"/>
    <col width="46" customWidth="1" min="5" max="5"/>
  </cols>
  <sheetData>
    <row r="1" ht="38" customHeight="1">
      <c r="A1" s="1" t="inlineStr">
        <is>
          <t>Échantillon RGAA 4.1.2 - pages obligatoires</t>
        </is>
      </c>
    </row>
    <row r="3" ht="28" customHeight="1">
      <c r="A3" s="2" t="inlineStr">
        <is>
          <t>La méthode technique du RGAA 4.1.2 impose un échantillon minimal de pages à auditer pour déclarer la conformité d'un site public.</t>
        </is>
      </c>
    </row>
    <row r="4" ht="28" customHeight="1">
      <c r="A4" s="2" t="inlineStr">
        <is>
          <t>Les 9 premières pages sont obligatoires (sauf si la fonction n'existe pas : noter NA).</t>
        </is>
      </c>
    </row>
    <row r="5" ht="28" customHeight="1">
      <c r="A5" s="2" t="inlineStr">
        <is>
          <t>Les pages 10 à 12 sont représentatives : au moins une page par type de gabarit (article, formulaire, liste).</t>
        </is>
      </c>
    </row>
    <row r="6" ht="28" customHeight="1">
      <c r="A6" s="2" t="inlineStr">
        <is>
          <t>Source officielle : https://accessibilite.numerique.gouv.fr/</t>
        </is>
      </c>
    </row>
    <row r="8" ht="38" customHeight="1">
      <c r="A8" s="8" t="inlineStr">
        <is>
          <t>N</t>
        </is>
      </c>
      <c r="B8" s="8" t="inlineStr">
        <is>
          <t>Type de page</t>
        </is>
      </c>
      <c r="C8" s="8" t="inlineStr">
        <is>
          <t>Caractère</t>
        </is>
      </c>
      <c r="D8" s="8" t="inlineStr">
        <is>
          <t>URL à auditer</t>
        </is>
      </c>
      <c r="E8" s="8" t="inlineStr">
        <is>
          <t>Commentaire</t>
        </is>
      </c>
    </row>
    <row r="9" ht="44" customHeight="1">
      <c r="A9" s="9" t="n">
        <v>1</v>
      </c>
      <c r="B9" s="10" t="inlineStr">
        <is>
          <t>Page d'accueil</t>
        </is>
      </c>
      <c r="C9" s="11" t="inlineStr">
        <is>
          <t>Obligatoire</t>
        </is>
      </c>
      <c r="D9" s="10" t="inlineStr"/>
      <c r="E9" s="10" t="inlineStr">
        <is>
          <t>Toujours auditée, même si une page de connexion précède.</t>
        </is>
      </c>
    </row>
    <row r="10" ht="44" customHeight="1">
      <c r="A10" s="9" t="n">
        <v>2</v>
      </c>
      <c r="B10" s="10" t="inlineStr">
        <is>
          <t>Page « Mentions légales »</t>
        </is>
      </c>
      <c r="C10" s="11" t="inlineStr">
        <is>
          <t>Obligatoire</t>
        </is>
      </c>
      <c r="D10" s="10" t="inlineStr"/>
      <c r="E10" s="10" t="inlineStr">
        <is>
          <t>Page réglementaire, présente sur tous les sites publics.</t>
        </is>
      </c>
    </row>
    <row r="11" ht="44" customHeight="1">
      <c r="A11" s="9" t="n">
        <v>3</v>
      </c>
      <c r="B11" s="10" t="inlineStr">
        <is>
          <t>Déclaration d'accessibilité</t>
        </is>
      </c>
      <c r="C11" s="11" t="inlineStr">
        <is>
          <t>Obligatoire</t>
        </is>
      </c>
      <c r="D11" s="10" t="inlineStr"/>
      <c r="E11" s="10" t="inlineStr">
        <is>
          <t>Page qui décrit l'état de conformité du site (article 47 de la loi de 2005).</t>
        </is>
      </c>
    </row>
    <row r="12" ht="44" customHeight="1">
      <c r="A12" s="9" t="n">
        <v>4</v>
      </c>
      <c r="B12" s="10" t="inlineStr">
        <is>
          <t>Page « Plan du site »</t>
        </is>
      </c>
      <c r="C12" s="11" t="inlineStr">
        <is>
          <t>Obligatoire</t>
        </is>
      </c>
      <c r="D12" s="10" t="inlineStr"/>
      <c r="E12" s="10" t="inlineStr">
        <is>
          <t>Si présente ; sinon, mentionner NA dans l'audit.</t>
        </is>
      </c>
    </row>
    <row r="13" ht="44" customHeight="1">
      <c r="A13" s="9" t="n">
        <v>5</v>
      </c>
      <c r="B13" s="10" t="inlineStr">
        <is>
          <t>Page « Contact »</t>
        </is>
      </c>
      <c r="C13" s="11" t="inlineStr">
        <is>
          <t>Obligatoire</t>
        </is>
      </c>
      <c r="D13" s="10" t="inlineStr"/>
      <c r="E13" s="10" t="inlineStr">
        <is>
          <t>Formulaire ou page avec coordonnées de l'organisme.</t>
        </is>
      </c>
    </row>
    <row r="14" ht="44" customHeight="1">
      <c r="A14" s="9" t="n">
        <v>6</v>
      </c>
      <c r="B14" s="10" t="inlineStr">
        <is>
          <t>Page « Aide » / FAQ</t>
        </is>
      </c>
      <c r="C14" s="11" t="inlineStr">
        <is>
          <t>Obligatoire</t>
        </is>
      </c>
      <c r="D14" s="10" t="inlineStr"/>
      <c r="E14" s="10" t="inlineStr">
        <is>
          <t>Si présente ; sinon, mentionner NA.</t>
        </is>
      </c>
    </row>
    <row r="15" ht="44" customHeight="1">
      <c r="A15" s="9" t="n">
        <v>7</v>
      </c>
      <c r="B15" s="10" t="inlineStr">
        <is>
          <t>Page d'authentification / connexion</t>
        </is>
      </c>
      <c r="C15" s="12" t="inlineStr">
        <is>
          <t>Obligatoire si existante</t>
        </is>
      </c>
      <c r="D15" s="10" t="inlineStr"/>
      <c r="E15" s="10" t="inlineStr">
        <is>
          <t>Auditée uniquement si le site propose un espace personnel.</t>
        </is>
      </c>
    </row>
    <row r="16" ht="44" customHeight="1">
      <c r="A16" s="9" t="n">
        <v>8</v>
      </c>
      <c r="B16" s="10" t="inlineStr">
        <is>
          <t>Page de résultats de recherche</t>
        </is>
      </c>
      <c r="C16" s="12" t="inlineStr">
        <is>
          <t>Obligatoire si moteur</t>
        </is>
      </c>
      <c r="D16" s="10" t="inlineStr"/>
      <c r="E16" s="10" t="inlineStr">
        <is>
          <t>Auditée avec un jeu de résultats réel, pas une page vide.</t>
        </is>
      </c>
    </row>
    <row r="17" ht="44" customHeight="1">
      <c r="A17" s="9" t="n">
        <v>9</v>
      </c>
      <c r="B17" s="10" t="inlineStr">
        <is>
          <t>Document téléchargeable (PDF, DOCX, ODT)</t>
        </is>
      </c>
      <c r="C17" s="12" t="inlineStr">
        <is>
          <t>Obligatoire si présent</t>
        </is>
      </c>
      <c r="D17" s="10" t="inlineStr"/>
      <c r="E17" s="10" t="inlineStr">
        <is>
          <t>Au moins un document représentatif. Attention : les 13 Easy Checks web ne couvrent qu'en partie les documents. Pour un audit complet, utiliser PAC 2024 (gratuit), Acrobat Pro ou Axes4.</t>
        </is>
      </c>
    </row>
    <row r="18" ht="44" customHeight="1">
      <c r="A18" s="9" t="n">
        <v>10</v>
      </c>
      <c r="B18" s="10" t="inlineStr">
        <is>
          <t>Page type : article, actualité ou contenu rédactionnel</t>
        </is>
      </c>
      <c r="C18" s="13" t="inlineStr">
        <is>
          <t>Représentative</t>
        </is>
      </c>
      <c r="D18" s="10" t="inlineStr"/>
      <c r="E18" s="10" t="inlineStr">
        <is>
          <t>Une page représentative du gabarit éditorial le plus fréquent.</t>
        </is>
      </c>
    </row>
    <row r="19" ht="44" customHeight="1">
      <c r="A19" s="9" t="n">
        <v>11</v>
      </c>
      <c r="B19" s="10" t="inlineStr">
        <is>
          <t>Page type : formulaire de démarche ou saisie multi-étape</t>
        </is>
      </c>
      <c r="C19" s="13" t="inlineStr">
        <is>
          <t>Représentative</t>
        </is>
      </c>
      <c r="D19" s="10" t="inlineStr"/>
      <c r="E19" s="10" t="inlineStr">
        <is>
          <t>Processus critique (inscription, demande, déclaration).</t>
        </is>
      </c>
    </row>
    <row r="20" ht="44" customHeight="1">
      <c r="A20" s="9" t="n">
        <v>12</v>
      </c>
      <c r="B20" s="10" t="inlineStr">
        <is>
          <t>Page type : liste / rubrique / résultats de navigation</t>
        </is>
      </c>
      <c r="C20" s="13" t="inlineStr">
        <is>
          <t>Représentative</t>
        </is>
      </c>
      <c r="D20" s="10" t="inlineStr"/>
      <c r="E20" s="10" t="inlineStr">
        <is>
          <t>Gabarit qui affiche plusieurs éléments triés ou filtrés.</t>
        </is>
      </c>
    </row>
    <row r="22" ht="30" customHeight="1">
      <c r="A22" s="14" t="inlineStr">
        <is>
          <t>Légende</t>
        </is>
      </c>
    </row>
    <row r="23" ht="30" customHeight="1">
      <c r="B23" s="15" t="inlineStr">
        <is>
          <t>Obligatoire</t>
        </is>
      </c>
      <c r="C23" s="2" t="inlineStr">
        <is>
          <t>Présente sur tout site public, à auditer systématiquement.</t>
        </is>
      </c>
    </row>
    <row r="24" ht="30" customHeight="1">
      <c r="B24" s="16" t="inlineStr">
        <is>
          <t>Obligatoire si existante</t>
        </is>
      </c>
      <c r="C24" s="2" t="inlineStr">
        <is>
          <t>À auditer uniquement si la fonction existe sur le site.</t>
        </is>
      </c>
    </row>
    <row r="25" ht="30" customHeight="1">
      <c r="B25" s="17" t="inlineStr">
        <is>
          <t>Représentative</t>
        </is>
      </c>
      <c r="C25" s="2" t="inlineStr">
        <is>
          <t>Échantillon représentatif des gabarits du site.</t>
        </is>
      </c>
    </row>
  </sheetData>
  <mergeCells count="8">
    <mergeCell ref="C24:E24"/>
    <mergeCell ref="A4:E4"/>
    <mergeCell ref="C23:E23"/>
    <mergeCell ref="A1:E1"/>
    <mergeCell ref="A5:E5"/>
    <mergeCell ref="A6:E6"/>
    <mergeCell ref="C25:E25"/>
    <mergeCell ref="A3:E3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18" t="inlineStr">
        <is>
          <t>Auditeur / auditrice</t>
        </is>
      </c>
      <c r="D1" s="2" t="inlineStr"/>
    </row>
    <row r="2" ht="26" customHeight="1">
      <c r="A2" s="18" t="inlineStr">
        <is>
          <t>Date de l'audit</t>
        </is>
      </c>
      <c r="D2" s="2" t="inlineStr"/>
    </row>
    <row r="3" ht="26" customHeight="1">
      <c r="A3" s="18" t="inlineStr">
        <is>
          <t>URL de la page auditée</t>
        </is>
      </c>
      <c r="D3" s="2" t="inlineStr"/>
    </row>
    <row r="4" ht="26" customHeight="1">
      <c r="A4" s="18" t="inlineStr">
        <is>
          <t>Intitulé de la page</t>
        </is>
      </c>
      <c r="D4" s="2" t="inlineStr">
        <is>
          <t>Page d'accueil</t>
        </is>
      </c>
    </row>
    <row r="5" ht="26" customHeight="1">
      <c r="A5" s="18" t="inlineStr">
        <is>
          <t>Navigateur et version</t>
        </is>
      </c>
      <c r="D5" s="2" t="inlineStr"/>
    </row>
    <row r="6" ht="26" customHeight="1">
      <c r="A6" s="18" t="inlineStr">
        <is>
          <t>Outils utilisés</t>
        </is>
      </c>
      <c r="D6" s="2" t="inlineStr"/>
    </row>
    <row r="8" ht="38" customHeight="1">
      <c r="A8" s="8" t="inlineStr">
        <is>
          <t>N</t>
        </is>
      </c>
      <c r="B8" s="8" t="inlineStr">
        <is>
          <t>Easy Check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9" t="n">
        <v>1</v>
      </c>
      <c r="B9" s="9" t="inlineStr">
        <is>
          <t>Alternatives textuelles des images</t>
        </is>
      </c>
      <c r="C9" s="9" t="inlineStr">
        <is>
          <t>1.1.1</t>
        </is>
      </c>
      <c r="D9" s="9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9" t="n">
        <v>2</v>
      </c>
      <c r="B10" s="9" t="inlineStr">
        <is>
          <t>Titre de page</t>
        </is>
      </c>
      <c r="C10" s="9" t="inlineStr">
        <is>
          <t>2.4.2</t>
        </is>
      </c>
      <c r="D10" s="9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9" t="n">
        <v>3</v>
      </c>
      <c r="B11" s="9" t="inlineStr">
        <is>
          <t>Titres et hiérarchie</t>
        </is>
      </c>
      <c r="C11" s="9" t="inlineStr">
        <is>
          <t>1.3.1, 2.4.6</t>
        </is>
      </c>
      <c r="D11" s="9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9" t="n">
        <v>4</v>
      </c>
      <c r="B12" s="9" t="inlineStr">
        <is>
          <t>Contraste des couleurs</t>
        </is>
      </c>
      <c r="C12" s="9" t="inlineStr">
        <is>
          <t>1.4.3, 1.4.11</t>
        </is>
      </c>
      <c r="D12" s="9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9" t="n">
        <v>5</v>
      </c>
      <c r="B13" s="9" t="inlineStr">
        <is>
          <t>Lien d'évitement</t>
        </is>
      </c>
      <c r="C13" s="9" t="inlineStr">
        <is>
          <t>2.4.1</t>
        </is>
      </c>
      <c r="D13" s="9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9" t="n">
        <v>6</v>
      </c>
      <c r="B14" s="9" t="inlineStr">
        <is>
          <t>Focus et navigation clavier</t>
        </is>
      </c>
      <c r="C14" s="9" t="inlineStr">
        <is>
          <t>2.4.7, 2.1.1, 2.1.2, 2.4.3</t>
        </is>
      </c>
      <c r="D14" s="9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9" t="n">
        <v>7</v>
      </c>
      <c r="B15" s="9" t="inlineStr">
        <is>
          <t>Langue de la page</t>
        </is>
      </c>
      <c r="C15" s="9" t="inlineStr">
        <is>
          <t>3.1.1, 3.1.2</t>
        </is>
      </c>
      <c r="D15" s="9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9" t="n">
        <v>8</v>
      </c>
      <c r="B16" s="9" t="inlineStr">
        <is>
          <t>Zoom à 200 %</t>
        </is>
      </c>
      <c r="C16" s="9" t="inlineStr">
        <is>
          <t>1.4.4, 1.4.10</t>
        </is>
      </c>
      <c r="D16" s="9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9" t="n">
        <v>9</v>
      </c>
      <c r="B17" s="9" t="inlineStr">
        <is>
          <t>Sous-titres vidéo</t>
        </is>
      </c>
      <c r="C17" s="9" t="inlineStr">
        <is>
          <t>1.2.2</t>
        </is>
      </c>
      <c r="D17" s="9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9" t="n">
        <v>10</v>
      </c>
      <c r="B18" s="9" t="inlineStr">
        <is>
          <t>Transcriptions audio et vidéo</t>
        </is>
      </c>
      <c r="C18" s="9" t="inlineStr">
        <is>
          <t>1.2.1</t>
        </is>
      </c>
      <c r="D18" s="9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9" t="n">
        <v>11</v>
      </c>
      <c r="B19" s="9" t="inlineStr">
        <is>
          <t>Audiodescription</t>
        </is>
      </c>
      <c r="C19" s="9" t="inlineStr">
        <is>
          <t>1.2.3, 1.2.5</t>
        </is>
      </c>
      <c r="D19" s="9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9" t="n">
        <v>12</v>
      </c>
      <c r="B20" s="9" t="inlineStr">
        <is>
          <t>Étiquettes de formulaire</t>
        </is>
      </c>
      <c r="C20" s="9" t="inlineStr">
        <is>
          <t>3.3.2, 1.3.1, 2.5.3</t>
        </is>
      </c>
      <c r="D20" s="9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9" t="n">
        <v>13</v>
      </c>
      <c r="B21" s="9" t="inlineStr">
        <is>
          <t>Champs obligatoires et erreurs</t>
        </is>
      </c>
      <c r="C21" s="9" t="inlineStr">
        <is>
          <t>3.3.2, 3.3.1, 3.3.3</t>
        </is>
      </c>
      <c r="D21" s="9" t="inlineStr">
        <is>
          <t>11.10, 11.11</t>
        </is>
      </c>
      <c r="E21" s="10" t="inlineStr">
        <is>
          <t>Soumettre un formulaire incomplet. Écouter l'annonce par le lecteur d'écran.</t>
        </is>
      </c>
      <c r="F21" s="10" t="inlineStr">
        <is>
          <t>Obligatoires indiqués textuellement et par astérisque. Légende « * champ obligatoire » présente. Messages d'erreur qui identifient le champ par son libellé.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4" t="inlineStr">
        <is>
          <t>Synthèse de la page</t>
        </is>
      </c>
    </row>
    <row r="25" ht="26" customHeight="1">
      <c r="A25" s="7" t="inlineStr">
        <is>
          <t>Conforme (C)</t>
        </is>
      </c>
      <c r="F25" s="20">
        <f>COUNTIF(G9:G21,"C")</f>
        <v/>
      </c>
    </row>
    <row r="26" ht="26" customHeight="1">
      <c r="A26" s="7" t="inlineStr">
        <is>
          <t>Non conforme (NC)</t>
        </is>
      </c>
      <c r="F26" s="20">
        <f>COUNTIF(G9:G21,"NC")</f>
        <v/>
      </c>
    </row>
    <row r="27" ht="26" customHeight="1">
      <c r="A27" s="7" t="inlineStr">
        <is>
          <t>Non applicable (NA)</t>
        </is>
      </c>
      <c r="F27" s="20">
        <f>COUNTIF(G9:G21,"NA")</f>
        <v/>
      </c>
    </row>
    <row r="28" ht="26" customHeight="1">
      <c r="A28" s="7" t="inlineStr">
        <is>
          <t>Taux de conformité Easy Checks</t>
        </is>
      </c>
      <c r="F28" s="21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0">
        <f>COUNTIFS(G9:G21,"NC",H9:H21,"Bloquant")</f>
        <v/>
      </c>
    </row>
    <row r="30" ht="26" customHeight="1">
      <c r="A30" s="7" t="inlineStr">
        <is>
          <t>Non-conformités gênantes</t>
        </is>
      </c>
      <c r="F30" s="20">
        <f>COUNTIFS(G9:G21,"NC",H9:H21,"Gênant")</f>
        <v/>
      </c>
    </row>
    <row r="31" ht="26" customHeight="1">
      <c r="A31" s="7" t="inlineStr">
        <is>
          <t>Non-conformités mineures</t>
        </is>
      </c>
      <c r="F31" s="20">
        <f>COUNTIFS(G9:G21,"NC",H9:H21,"Mineur")</f>
        <v/>
      </c>
    </row>
    <row r="33" ht="30" customHeight="1">
      <c r="A33" s="14" t="inlineStr">
        <is>
          <t>Top 3 des actions prioritaires</t>
        </is>
      </c>
    </row>
    <row r="34" ht="32" customHeight="1">
      <c r="A34" s="22" t="inlineStr">
        <is>
          <t>1.</t>
        </is>
      </c>
      <c r="B34" s="10" t="inlineStr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4" t="n"/>
    </row>
    <row r="35" ht="32" customHeight="1">
      <c r="A35" s="22" t="inlineStr">
        <is>
          <t>2.</t>
        </is>
      </c>
      <c r="B35" s="10" t="inlineStr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4" t="n"/>
    </row>
    <row r="36" ht="32" customHeight="1">
      <c r="A36" s="22" t="inlineStr">
        <is>
          <t>3.</t>
        </is>
      </c>
      <c r="B36" s="10" t="inlineStr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4" t="n"/>
    </row>
    <row r="38" ht="30" customHeight="1">
      <c r="A38" s="14" t="inlineStr">
        <is>
          <t>Mon engagement pour demain 9 h</t>
        </is>
      </c>
    </row>
    <row r="39" ht="40" customHeight="1">
      <c r="A39" s="10" t="inlineStr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4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18" t="inlineStr">
        <is>
          <t>Auditeur / auditrice</t>
        </is>
      </c>
      <c r="D1" s="2" t="inlineStr"/>
    </row>
    <row r="2" ht="26" customHeight="1">
      <c r="A2" s="18" t="inlineStr">
        <is>
          <t>Date de l'audit</t>
        </is>
      </c>
      <c r="D2" s="2" t="inlineStr"/>
    </row>
    <row r="3" ht="26" customHeight="1">
      <c r="A3" s="18" t="inlineStr">
        <is>
          <t>URL de la page auditée</t>
        </is>
      </c>
      <c r="D3" s="2" t="inlineStr"/>
    </row>
    <row r="4" ht="26" customHeight="1">
      <c r="A4" s="18" t="inlineStr">
        <is>
          <t>Intitulé de la page</t>
        </is>
      </c>
      <c r="D4" s="2" t="inlineStr">
        <is>
          <t>Page « Mentions légales »</t>
        </is>
      </c>
    </row>
    <row r="5" ht="26" customHeight="1">
      <c r="A5" s="18" t="inlineStr">
        <is>
          <t>Navigateur et version</t>
        </is>
      </c>
      <c r="D5" s="2" t="inlineStr"/>
    </row>
    <row r="6" ht="26" customHeight="1">
      <c r="A6" s="18" t="inlineStr">
        <is>
          <t>Outils utilisés</t>
        </is>
      </c>
      <c r="D6" s="2" t="inlineStr"/>
    </row>
    <row r="8" ht="38" customHeight="1">
      <c r="A8" s="8" t="inlineStr">
        <is>
          <t>N</t>
        </is>
      </c>
      <c r="B8" s="8" t="inlineStr">
        <is>
          <t>Easy Check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9" t="n">
        <v>1</v>
      </c>
      <c r="B9" s="9" t="inlineStr">
        <is>
          <t>Alternatives textuelles des images</t>
        </is>
      </c>
      <c r="C9" s="9" t="inlineStr">
        <is>
          <t>1.1.1</t>
        </is>
      </c>
      <c r="D9" s="9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9" t="n">
        <v>2</v>
      </c>
      <c r="B10" s="9" t="inlineStr">
        <is>
          <t>Titre de page</t>
        </is>
      </c>
      <c r="C10" s="9" t="inlineStr">
        <is>
          <t>2.4.2</t>
        </is>
      </c>
      <c r="D10" s="9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9" t="n">
        <v>3</v>
      </c>
      <c r="B11" s="9" t="inlineStr">
        <is>
          <t>Titres et hiérarchie</t>
        </is>
      </c>
      <c r="C11" s="9" t="inlineStr">
        <is>
          <t>1.3.1, 2.4.6</t>
        </is>
      </c>
      <c r="D11" s="9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9" t="n">
        <v>4</v>
      </c>
      <c r="B12" s="9" t="inlineStr">
        <is>
          <t>Contraste des couleurs</t>
        </is>
      </c>
      <c r="C12" s="9" t="inlineStr">
        <is>
          <t>1.4.3, 1.4.11</t>
        </is>
      </c>
      <c r="D12" s="9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9" t="n">
        <v>5</v>
      </c>
      <c r="B13" s="9" t="inlineStr">
        <is>
          <t>Lien d'évitement</t>
        </is>
      </c>
      <c r="C13" s="9" t="inlineStr">
        <is>
          <t>2.4.1</t>
        </is>
      </c>
      <c r="D13" s="9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9" t="n">
        <v>6</v>
      </c>
      <c r="B14" s="9" t="inlineStr">
        <is>
          <t>Focus et navigation clavier</t>
        </is>
      </c>
      <c r="C14" s="9" t="inlineStr">
        <is>
          <t>2.4.7, 2.1.1, 2.1.2, 2.4.3</t>
        </is>
      </c>
      <c r="D14" s="9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9" t="n">
        <v>7</v>
      </c>
      <c r="B15" s="9" t="inlineStr">
        <is>
          <t>Langue de la page</t>
        </is>
      </c>
      <c r="C15" s="9" t="inlineStr">
        <is>
          <t>3.1.1, 3.1.2</t>
        </is>
      </c>
      <c r="D15" s="9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9" t="n">
        <v>8</v>
      </c>
      <c r="B16" s="9" t="inlineStr">
        <is>
          <t>Zoom à 200 %</t>
        </is>
      </c>
      <c r="C16" s="9" t="inlineStr">
        <is>
          <t>1.4.4, 1.4.10</t>
        </is>
      </c>
      <c r="D16" s="9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9" t="n">
        <v>9</v>
      </c>
      <c r="B17" s="9" t="inlineStr">
        <is>
          <t>Sous-titres vidéo</t>
        </is>
      </c>
      <c r="C17" s="9" t="inlineStr">
        <is>
          <t>1.2.2</t>
        </is>
      </c>
      <c r="D17" s="9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9" t="n">
        <v>10</v>
      </c>
      <c r="B18" s="9" t="inlineStr">
        <is>
          <t>Transcriptions audio et vidéo</t>
        </is>
      </c>
      <c r="C18" s="9" t="inlineStr">
        <is>
          <t>1.2.1</t>
        </is>
      </c>
      <c r="D18" s="9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9" t="n">
        <v>11</v>
      </c>
      <c r="B19" s="9" t="inlineStr">
        <is>
          <t>Audiodescription</t>
        </is>
      </c>
      <c r="C19" s="9" t="inlineStr">
        <is>
          <t>1.2.3, 1.2.5</t>
        </is>
      </c>
      <c r="D19" s="9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9" t="n">
        <v>12</v>
      </c>
      <c r="B20" s="9" t="inlineStr">
        <is>
          <t>Étiquettes de formulaire</t>
        </is>
      </c>
      <c r="C20" s="9" t="inlineStr">
        <is>
          <t>3.3.2, 1.3.1, 2.5.3</t>
        </is>
      </c>
      <c r="D20" s="9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9" t="n">
        <v>13</v>
      </c>
      <c r="B21" s="9" t="inlineStr">
        <is>
          <t>Champs obligatoires et erreurs</t>
        </is>
      </c>
      <c r="C21" s="9" t="inlineStr">
        <is>
          <t>3.3.2, 3.3.1, 3.3.3</t>
        </is>
      </c>
      <c r="D21" s="9" t="inlineStr">
        <is>
          <t>11.10, 11.11</t>
        </is>
      </c>
      <c r="E21" s="10" t="inlineStr">
        <is>
          <t>Soumettre un formulaire incomplet. Écouter l'annonce par le lecteur d'écran.</t>
        </is>
      </c>
      <c r="F21" s="10" t="inlineStr">
        <is>
          <t>Obligatoires indiqués textuellement et par astérisque. Légende « * champ obligatoire » présente. Messages d'erreur qui identifient le champ par son libellé.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4" t="inlineStr">
        <is>
          <t>Synthèse de la page</t>
        </is>
      </c>
    </row>
    <row r="25" ht="26" customHeight="1">
      <c r="A25" s="7" t="inlineStr">
        <is>
          <t>Conforme (C)</t>
        </is>
      </c>
      <c r="F25" s="20">
        <f>COUNTIF(G9:G21,"C")</f>
        <v/>
      </c>
    </row>
    <row r="26" ht="26" customHeight="1">
      <c r="A26" s="7" t="inlineStr">
        <is>
          <t>Non conforme (NC)</t>
        </is>
      </c>
      <c r="F26" s="20">
        <f>COUNTIF(G9:G21,"NC")</f>
        <v/>
      </c>
    </row>
    <row r="27" ht="26" customHeight="1">
      <c r="A27" s="7" t="inlineStr">
        <is>
          <t>Non applicable (NA)</t>
        </is>
      </c>
      <c r="F27" s="20">
        <f>COUNTIF(G9:G21,"NA")</f>
        <v/>
      </c>
    </row>
    <row r="28" ht="26" customHeight="1">
      <c r="A28" s="7" t="inlineStr">
        <is>
          <t>Taux de conformité Easy Checks</t>
        </is>
      </c>
      <c r="F28" s="21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0">
        <f>COUNTIFS(G9:G21,"NC",H9:H21,"Bloquant")</f>
        <v/>
      </c>
    </row>
    <row r="30" ht="26" customHeight="1">
      <c r="A30" s="7" t="inlineStr">
        <is>
          <t>Non-conformités gênantes</t>
        </is>
      </c>
      <c r="F30" s="20">
        <f>COUNTIFS(G9:G21,"NC",H9:H21,"Gênant")</f>
        <v/>
      </c>
    </row>
    <row r="31" ht="26" customHeight="1">
      <c r="A31" s="7" t="inlineStr">
        <is>
          <t>Non-conformités mineures</t>
        </is>
      </c>
      <c r="F31" s="20">
        <f>COUNTIFS(G9:G21,"NC",H9:H21,"Mineur")</f>
        <v/>
      </c>
    </row>
    <row r="33" ht="30" customHeight="1">
      <c r="A33" s="14" t="inlineStr">
        <is>
          <t>Top 3 des actions prioritaires</t>
        </is>
      </c>
    </row>
    <row r="34" ht="32" customHeight="1">
      <c r="A34" s="22" t="inlineStr">
        <is>
          <t>1.</t>
        </is>
      </c>
      <c r="B34" s="10" t="inlineStr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4" t="n"/>
    </row>
    <row r="35" ht="32" customHeight="1">
      <c r="A35" s="22" t="inlineStr">
        <is>
          <t>2.</t>
        </is>
      </c>
      <c r="B35" s="10" t="inlineStr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4" t="n"/>
    </row>
    <row r="36" ht="32" customHeight="1">
      <c r="A36" s="22" t="inlineStr">
        <is>
          <t>3.</t>
        </is>
      </c>
      <c r="B36" s="10" t="inlineStr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4" t="n"/>
    </row>
    <row r="38" ht="30" customHeight="1">
      <c r="A38" s="14" t="inlineStr">
        <is>
          <t>Mon engagement pour demain 9 h</t>
        </is>
      </c>
    </row>
    <row r="39" ht="40" customHeight="1">
      <c r="A39" s="10" t="inlineStr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4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18" t="inlineStr">
        <is>
          <t>Auditeur / auditrice</t>
        </is>
      </c>
      <c r="D1" s="2" t="inlineStr"/>
    </row>
    <row r="2" ht="26" customHeight="1">
      <c r="A2" s="18" t="inlineStr">
        <is>
          <t>Date de l'audit</t>
        </is>
      </c>
      <c r="D2" s="2" t="inlineStr"/>
    </row>
    <row r="3" ht="26" customHeight="1">
      <c r="A3" s="18" t="inlineStr">
        <is>
          <t>URL de la page auditée</t>
        </is>
      </c>
      <c r="D3" s="2" t="inlineStr"/>
    </row>
    <row r="4" ht="26" customHeight="1">
      <c r="A4" s="18" t="inlineStr">
        <is>
          <t>Intitulé de la page</t>
        </is>
      </c>
      <c r="D4" s="2" t="inlineStr">
        <is>
          <t>Déclaration d'accessibilité</t>
        </is>
      </c>
    </row>
    <row r="5" ht="26" customHeight="1">
      <c r="A5" s="18" t="inlineStr">
        <is>
          <t>Navigateur et version</t>
        </is>
      </c>
      <c r="D5" s="2" t="inlineStr"/>
    </row>
    <row r="6" ht="26" customHeight="1">
      <c r="A6" s="18" t="inlineStr">
        <is>
          <t>Outils utilisés</t>
        </is>
      </c>
      <c r="D6" s="2" t="inlineStr"/>
    </row>
    <row r="8" ht="38" customHeight="1">
      <c r="A8" s="8" t="inlineStr">
        <is>
          <t>N</t>
        </is>
      </c>
      <c r="B8" s="8" t="inlineStr">
        <is>
          <t>Easy Check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9" t="n">
        <v>1</v>
      </c>
      <c r="B9" s="9" t="inlineStr">
        <is>
          <t>Alternatives textuelles des images</t>
        </is>
      </c>
      <c r="C9" s="9" t="inlineStr">
        <is>
          <t>1.1.1</t>
        </is>
      </c>
      <c r="D9" s="9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9" t="n">
        <v>2</v>
      </c>
      <c r="B10" s="9" t="inlineStr">
        <is>
          <t>Titre de page</t>
        </is>
      </c>
      <c r="C10" s="9" t="inlineStr">
        <is>
          <t>2.4.2</t>
        </is>
      </c>
      <c r="D10" s="9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9" t="n">
        <v>3</v>
      </c>
      <c r="B11" s="9" t="inlineStr">
        <is>
          <t>Titres et hiérarchie</t>
        </is>
      </c>
      <c r="C11" s="9" t="inlineStr">
        <is>
          <t>1.3.1, 2.4.6</t>
        </is>
      </c>
      <c r="D11" s="9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9" t="n">
        <v>4</v>
      </c>
      <c r="B12" s="9" t="inlineStr">
        <is>
          <t>Contraste des couleurs</t>
        </is>
      </c>
      <c r="C12" s="9" t="inlineStr">
        <is>
          <t>1.4.3, 1.4.11</t>
        </is>
      </c>
      <c r="D12" s="9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9" t="n">
        <v>5</v>
      </c>
      <c r="B13" s="9" t="inlineStr">
        <is>
          <t>Lien d'évitement</t>
        </is>
      </c>
      <c r="C13" s="9" t="inlineStr">
        <is>
          <t>2.4.1</t>
        </is>
      </c>
      <c r="D13" s="9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9" t="n">
        <v>6</v>
      </c>
      <c r="B14" s="9" t="inlineStr">
        <is>
          <t>Focus et navigation clavier</t>
        </is>
      </c>
      <c r="C14" s="9" t="inlineStr">
        <is>
          <t>2.4.7, 2.1.1, 2.1.2, 2.4.3</t>
        </is>
      </c>
      <c r="D14" s="9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9" t="n">
        <v>7</v>
      </c>
      <c r="B15" s="9" t="inlineStr">
        <is>
          <t>Langue de la page</t>
        </is>
      </c>
      <c r="C15" s="9" t="inlineStr">
        <is>
          <t>3.1.1, 3.1.2</t>
        </is>
      </c>
      <c r="D15" s="9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9" t="n">
        <v>8</v>
      </c>
      <c r="B16" s="9" t="inlineStr">
        <is>
          <t>Zoom à 200 %</t>
        </is>
      </c>
      <c r="C16" s="9" t="inlineStr">
        <is>
          <t>1.4.4, 1.4.10</t>
        </is>
      </c>
      <c r="D16" s="9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9" t="n">
        <v>9</v>
      </c>
      <c r="B17" s="9" t="inlineStr">
        <is>
          <t>Sous-titres vidéo</t>
        </is>
      </c>
      <c r="C17" s="9" t="inlineStr">
        <is>
          <t>1.2.2</t>
        </is>
      </c>
      <c r="D17" s="9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9" t="n">
        <v>10</v>
      </c>
      <c r="B18" s="9" t="inlineStr">
        <is>
          <t>Transcriptions audio et vidéo</t>
        </is>
      </c>
      <c r="C18" s="9" t="inlineStr">
        <is>
          <t>1.2.1</t>
        </is>
      </c>
      <c r="D18" s="9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9" t="n">
        <v>11</v>
      </c>
      <c r="B19" s="9" t="inlineStr">
        <is>
          <t>Audiodescription</t>
        </is>
      </c>
      <c r="C19" s="9" t="inlineStr">
        <is>
          <t>1.2.3, 1.2.5</t>
        </is>
      </c>
      <c r="D19" s="9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9" t="n">
        <v>12</v>
      </c>
      <c r="B20" s="9" t="inlineStr">
        <is>
          <t>Étiquettes de formulaire</t>
        </is>
      </c>
      <c r="C20" s="9" t="inlineStr">
        <is>
          <t>3.3.2, 1.3.1, 2.5.3</t>
        </is>
      </c>
      <c r="D20" s="9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9" t="n">
        <v>13</v>
      </c>
      <c r="B21" s="9" t="inlineStr">
        <is>
          <t>Champs obligatoires et erreurs</t>
        </is>
      </c>
      <c r="C21" s="9" t="inlineStr">
        <is>
          <t>3.3.2, 3.3.1, 3.3.3</t>
        </is>
      </c>
      <c r="D21" s="9" t="inlineStr">
        <is>
          <t>11.10, 11.11</t>
        </is>
      </c>
      <c r="E21" s="10" t="inlineStr">
        <is>
          <t>Soumettre un formulaire incomplet. Écouter l'annonce par le lecteur d'écran.</t>
        </is>
      </c>
      <c r="F21" s="10" t="inlineStr">
        <is>
          <t>Obligatoires indiqués textuellement et par astérisque. Légende « * champ obligatoire » présente. Messages d'erreur qui identifient le champ par son libellé.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4" t="inlineStr">
        <is>
          <t>Synthèse de la page</t>
        </is>
      </c>
    </row>
    <row r="25" ht="26" customHeight="1">
      <c r="A25" s="7" t="inlineStr">
        <is>
          <t>Conforme (C)</t>
        </is>
      </c>
      <c r="F25" s="20">
        <f>COUNTIF(G9:G21,"C")</f>
        <v/>
      </c>
    </row>
    <row r="26" ht="26" customHeight="1">
      <c r="A26" s="7" t="inlineStr">
        <is>
          <t>Non conforme (NC)</t>
        </is>
      </c>
      <c r="F26" s="20">
        <f>COUNTIF(G9:G21,"NC")</f>
        <v/>
      </c>
    </row>
    <row r="27" ht="26" customHeight="1">
      <c r="A27" s="7" t="inlineStr">
        <is>
          <t>Non applicable (NA)</t>
        </is>
      </c>
      <c r="F27" s="20">
        <f>COUNTIF(G9:G21,"NA")</f>
        <v/>
      </c>
    </row>
    <row r="28" ht="26" customHeight="1">
      <c r="A28" s="7" t="inlineStr">
        <is>
          <t>Taux de conformité Easy Checks</t>
        </is>
      </c>
      <c r="F28" s="21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0">
        <f>COUNTIFS(G9:G21,"NC",H9:H21,"Bloquant")</f>
        <v/>
      </c>
    </row>
    <row r="30" ht="26" customHeight="1">
      <c r="A30" s="7" t="inlineStr">
        <is>
          <t>Non-conformités gênantes</t>
        </is>
      </c>
      <c r="F30" s="20">
        <f>COUNTIFS(G9:G21,"NC",H9:H21,"Gênant")</f>
        <v/>
      </c>
    </row>
    <row r="31" ht="26" customHeight="1">
      <c r="A31" s="7" t="inlineStr">
        <is>
          <t>Non-conformités mineures</t>
        </is>
      </c>
      <c r="F31" s="20">
        <f>COUNTIFS(G9:G21,"NC",H9:H21,"Mineur")</f>
        <v/>
      </c>
    </row>
    <row r="33" ht="30" customHeight="1">
      <c r="A33" s="14" t="inlineStr">
        <is>
          <t>Top 3 des actions prioritaires</t>
        </is>
      </c>
    </row>
    <row r="34" ht="32" customHeight="1">
      <c r="A34" s="22" t="inlineStr">
        <is>
          <t>1.</t>
        </is>
      </c>
      <c r="B34" s="10" t="inlineStr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4" t="n"/>
    </row>
    <row r="35" ht="32" customHeight="1">
      <c r="A35" s="22" t="inlineStr">
        <is>
          <t>2.</t>
        </is>
      </c>
      <c r="B35" s="10" t="inlineStr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4" t="n"/>
    </row>
    <row r="36" ht="32" customHeight="1">
      <c r="A36" s="22" t="inlineStr">
        <is>
          <t>3.</t>
        </is>
      </c>
      <c r="B36" s="10" t="inlineStr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4" t="n"/>
    </row>
    <row r="38" ht="30" customHeight="1">
      <c r="A38" s="14" t="inlineStr">
        <is>
          <t>Mon engagement pour demain 9 h</t>
        </is>
      </c>
    </row>
    <row r="39" ht="40" customHeight="1">
      <c r="A39" s="10" t="inlineStr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4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18" t="inlineStr">
        <is>
          <t>Auditeur / auditrice</t>
        </is>
      </c>
      <c r="D1" s="2" t="inlineStr"/>
    </row>
    <row r="2" ht="26" customHeight="1">
      <c r="A2" s="18" t="inlineStr">
        <is>
          <t>Date de l'audit</t>
        </is>
      </c>
      <c r="D2" s="2" t="inlineStr"/>
    </row>
    <row r="3" ht="26" customHeight="1">
      <c r="A3" s="18" t="inlineStr">
        <is>
          <t>URL de la page auditée</t>
        </is>
      </c>
      <c r="D3" s="2" t="inlineStr"/>
    </row>
    <row r="4" ht="26" customHeight="1">
      <c r="A4" s="18" t="inlineStr">
        <is>
          <t>Intitulé de la page</t>
        </is>
      </c>
      <c r="D4" s="2" t="inlineStr">
        <is>
          <t>Page « Plan du site »</t>
        </is>
      </c>
    </row>
    <row r="5" ht="26" customHeight="1">
      <c r="A5" s="18" t="inlineStr">
        <is>
          <t>Navigateur et version</t>
        </is>
      </c>
      <c r="D5" s="2" t="inlineStr"/>
    </row>
    <row r="6" ht="26" customHeight="1">
      <c r="A6" s="18" t="inlineStr">
        <is>
          <t>Outils utilisés</t>
        </is>
      </c>
      <c r="D6" s="2" t="inlineStr"/>
    </row>
    <row r="8" ht="38" customHeight="1">
      <c r="A8" s="8" t="inlineStr">
        <is>
          <t>N</t>
        </is>
      </c>
      <c r="B8" s="8" t="inlineStr">
        <is>
          <t>Easy Check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9" t="n">
        <v>1</v>
      </c>
      <c r="B9" s="9" t="inlineStr">
        <is>
          <t>Alternatives textuelles des images</t>
        </is>
      </c>
      <c r="C9" s="9" t="inlineStr">
        <is>
          <t>1.1.1</t>
        </is>
      </c>
      <c r="D9" s="9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9" t="n">
        <v>2</v>
      </c>
      <c r="B10" s="9" t="inlineStr">
        <is>
          <t>Titre de page</t>
        </is>
      </c>
      <c r="C10" s="9" t="inlineStr">
        <is>
          <t>2.4.2</t>
        </is>
      </c>
      <c r="D10" s="9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9" t="n">
        <v>3</v>
      </c>
      <c r="B11" s="9" t="inlineStr">
        <is>
          <t>Titres et hiérarchie</t>
        </is>
      </c>
      <c r="C11" s="9" t="inlineStr">
        <is>
          <t>1.3.1, 2.4.6</t>
        </is>
      </c>
      <c r="D11" s="9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9" t="n">
        <v>4</v>
      </c>
      <c r="B12" s="9" t="inlineStr">
        <is>
          <t>Contraste des couleurs</t>
        </is>
      </c>
      <c r="C12" s="9" t="inlineStr">
        <is>
          <t>1.4.3, 1.4.11</t>
        </is>
      </c>
      <c r="D12" s="9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9" t="n">
        <v>5</v>
      </c>
      <c r="B13" s="9" t="inlineStr">
        <is>
          <t>Lien d'évitement</t>
        </is>
      </c>
      <c r="C13" s="9" t="inlineStr">
        <is>
          <t>2.4.1</t>
        </is>
      </c>
      <c r="D13" s="9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9" t="n">
        <v>6</v>
      </c>
      <c r="B14" s="9" t="inlineStr">
        <is>
          <t>Focus et navigation clavier</t>
        </is>
      </c>
      <c r="C14" s="9" t="inlineStr">
        <is>
          <t>2.4.7, 2.1.1, 2.1.2, 2.4.3</t>
        </is>
      </c>
      <c r="D14" s="9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9" t="n">
        <v>7</v>
      </c>
      <c r="B15" s="9" t="inlineStr">
        <is>
          <t>Langue de la page</t>
        </is>
      </c>
      <c r="C15" s="9" t="inlineStr">
        <is>
          <t>3.1.1, 3.1.2</t>
        </is>
      </c>
      <c r="D15" s="9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9" t="n">
        <v>8</v>
      </c>
      <c r="B16" s="9" t="inlineStr">
        <is>
          <t>Zoom à 200 %</t>
        </is>
      </c>
      <c r="C16" s="9" t="inlineStr">
        <is>
          <t>1.4.4, 1.4.10</t>
        </is>
      </c>
      <c r="D16" s="9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9" t="n">
        <v>9</v>
      </c>
      <c r="B17" s="9" t="inlineStr">
        <is>
          <t>Sous-titres vidéo</t>
        </is>
      </c>
      <c r="C17" s="9" t="inlineStr">
        <is>
          <t>1.2.2</t>
        </is>
      </c>
      <c r="D17" s="9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9" t="n">
        <v>10</v>
      </c>
      <c r="B18" s="9" t="inlineStr">
        <is>
          <t>Transcriptions audio et vidéo</t>
        </is>
      </c>
      <c r="C18" s="9" t="inlineStr">
        <is>
          <t>1.2.1</t>
        </is>
      </c>
      <c r="D18" s="9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9" t="n">
        <v>11</v>
      </c>
      <c r="B19" s="9" t="inlineStr">
        <is>
          <t>Audiodescription</t>
        </is>
      </c>
      <c r="C19" s="9" t="inlineStr">
        <is>
          <t>1.2.3, 1.2.5</t>
        </is>
      </c>
      <c r="D19" s="9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9" t="n">
        <v>12</v>
      </c>
      <c r="B20" s="9" t="inlineStr">
        <is>
          <t>Étiquettes de formulaire</t>
        </is>
      </c>
      <c r="C20" s="9" t="inlineStr">
        <is>
          <t>3.3.2, 1.3.1, 2.5.3</t>
        </is>
      </c>
      <c r="D20" s="9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9" t="n">
        <v>13</v>
      </c>
      <c r="B21" s="9" t="inlineStr">
        <is>
          <t>Champs obligatoires et erreurs</t>
        </is>
      </c>
      <c r="C21" s="9" t="inlineStr">
        <is>
          <t>3.3.2, 3.3.1, 3.3.3</t>
        </is>
      </c>
      <c r="D21" s="9" t="inlineStr">
        <is>
          <t>11.10, 11.11</t>
        </is>
      </c>
      <c r="E21" s="10" t="inlineStr">
        <is>
          <t>Soumettre un formulaire incomplet. Écouter l'annonce par le lecteur d'écran.</t>
        </is>
      </c>
      <c r="F21" s="10" t="inlineStr">
        <is>
          <t>Obligatoires indiqués textuellement et par astérisque. Légende « * champ obligatoire » présente. Messages d'erreur qui identifient le champ par son libellé.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4" t="inlineStr">
        <is>
          <t>Synthèse de la page</t>
        </is>
      </c>
    </row>
    <row r="25" ht="26" customHeight="1">
      <c r="A25" s="7" t="inlineStr">
        <is>
          <t>Conforme (C)</t>
        </is>
      </c>
      <c r="F25" s="20">
        <f>COUNTIF(G9:G21,"C")</f>
        <v/>
      </c>
    </row>
    <row r="26" ht="26" customHeight="1">
      <c r="A26" s="7" t="inlineStr">
        <is>
          <t>Non conforme (NC)</t>
        </is>
      </c>
      <c r="F26" s="20">
        <f>COUNTIF(G9:G21,"NC")</f>
        <v/>
      </c>
    </row>
    <row r="27" ht="26" customHeight="1">
      <c r="A27" s="7" t="inlineStr">
        <is>
          <t>Non applicable (NA)</t>
        </is>
      </c>
      <c r="F27" s="20">
        <f>COUNTIF(G9:G21,"NA")</f>
        <v/>
      </c>
    </row>
    <row r="28" ht="26" customHeight="1">
      <c r="A28" s="7" t="inlineStr">
        <is>
          <t>Taux de conformité Easy Checks</t>
        </is>
      </c>
      <c r="F28" s="21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0">
        <f>COUNTIFS(G9:G21,"NC",H9:H21,"Bloquant")</f>
        <v/>
      </c>
    </row>
    <row r="30" ht="26" customHeight="1">
      <c r="A30" s="7" t="inlineStr">
        <is>
          <t>Non-conformités gênantes</t>
        </is>
      </c>
      <c r="F30" s="20">
        <f>COUNTIFS(G9:G21,"NC",H9:H21,"Gênant")</f>
        <v/>
      </c>
    </row>
    <row r="31" ht="26" customHeight="1">
      <c r="A31" s="7" t="inlineStr">
        <is>
          <t>Non-conformités mineures</t>
        </is>
      </c>
      <c r="F31" s="20">
        <f>COUNTIFS(G9:G21,"NC",H9:H21,"Mineur")</f>
        <v/>
      </c>
    </row>
    <row r="33" ht="30" customHeight="1">
      <c r="A33" s="14" t="inlineStr">
        <is>
          <t>Top 3 des actions prioritaires</t>
        </is>
      </c>
    </row>
    <row r="34" ht="32" customHeight="1">
      <c r="A34" s="22" t="inlineStr">
        <is>
          <t>1.</t>
        </is>
      </c>
      <c r="B34" s="10" t="inlineStr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4" t="n"/>
    </row>
    <row r="35" ht="32" customHeight="1">
      <c r="A35" s="22" t="inlineStr">
        <is>
          <t>2.</t>
        </is>
      </c>
      <c r="B35" s="10" t="inlineStr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4" t="n"/>
    </row>
    <row r="36" ht="32" customHeight="1">
      <c r="A36" s="22" t="inlineStr">
        <is>
          <t>3.</t>
        </is>
      </c>
      <c r="B36" s="10" t="inlineStr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4" t="n"/>
    </row>
    <row r="38" ht="30" customHeight="1">
      <c r="A38" s="14" t="inlineStr">
        <is>
          <t>Mon engagement pour demain 9 h</t>
        </is>
      </c>
    </row>
    <row r="39" ht="40" customHeight="1">
      <c r="A39" s="10" t="inlineStr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4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18" t="inlineStr">
        <is>
          <t>Auditeur / auditrice</t>
        </is>
      </c>
      <c r="D1" s="2" t="inlineStr"/>
    </row>
    <row r="2" ht="26" customHeight="1">
      <c r="A2" s="18" t="inlineStr">
        <is>
          <t>Date de l'audit</t>
        </is>
      </c>
      <c r="D2" s="2" t="inlineStr"/>
    </row>
    <row r="3" ht="26" customHeight="1">
      <c r="A3" s="18" t="inlineStr">
        <is>
          <t>URL de la page auditée</t>
        </is>
      </c>
      <c r="D3" s="2" t="inlineStr"/>
    </row>
    <row r="4" ht="26" customHeight="1">
      <c r="A4" s="18" t="inlineStr">
        <is>
          <t>Intitulé de la page</t>
        </is>
      </c>
      <c r="D4" s="2" t="inlineStr">
        <is>
          <t>Page « Contact »</t>
        </is>
      </c>
    </row>
    <row r="5" ht="26" customHeight="1">
      <c r="A5" s="18" t="inlineStr">
        <is>
          <t>Navigateur et version</t>
        </is>
      </c>
      <c r="D5" s="2" t="inlineStr"/>
    </row>
    <row r="6" ht="26" customHeight="1">
      <c r="A6" s="18" t="inlineStr">
        <is>
          <t>Outils utilisés</t>
        </is>
      </c>
      <c r="D6" s="2" t="inlineStr"/>
    </row>
    <row r="8" ht="38" customHeight="1">
      <c r="A8" s="8" t="inlineStr">
        <is>
          <t>N</t>
        </is>
      </c>
      <c r="B8" s="8" t="inlineStr">
        <is>
          <t>Easy Check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9" t="n">
        <v>1</v>
      </c>
      <c r="B9" s="9" t="inlineStr">
        <is>
          <t>Alternatives textuelles des images</t>
        </is>
      </c>
      <c r="C9" s="9" t="inlineStr">
        <is>
          <t>1.1.1</t>
        </is>
      </c>
      <c r="D9" s="9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9" t="n">
        <v>2</v>
      </c>
      <c r="B10" s="9" t="inlineStr">
        <is>
          <t>Titre de page</t>
        </is>
      </c>
      <c r="C10" s="9" t="inlineStr">
        <is>
          <t>2.4.2</t>
        </is>
      </c>
      <c r="D10" s="9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9" t="n">
        <v>3</v>
      </c>
      <c r="B11" s="9" t="inlineStr">
        <is>
          <t>Titres et hiérarchie</t>
        </is>
      </c>
      <c r="C11" s="9" t="inlineStr">
        <is>
          <t>1.3.1, 2.4.6</t>
        </is>
      </c>
      <c r="D11" s="9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9" t="n">
        <v>4</v>
      </c>
      <c r="B12" s="9" t="inlineStr">
        <is>
          <t>Contraste des couleurs</t>
        </is>
      </c>
      <c r="C12" s="9" t="inlineStr">
        <is>
          <t>1.4.3, 1.4.11</t>
        </is>
      </c>
      <c r="D12" s="9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9" t="n">
        <v>5</v>
      </c>
      <c r="B13" s="9" t="inlineStr">
        <is>
          <t>Lien d'évitement</t>
        </is>
      </c>
      <c r="C13" s="9" t="inlineStr">
        <is>
          <t>2.4.1</t>
        </is>
      </c>
      <c r="D13" s="9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9" t="n">
        <v>6</v>
      </c>
      <c r="B14" s="9" t="inlineStr">
        <is>
          <t>Focus et navigation clavier</t>
        </is>
      </c>
      <c r="C14" s="9" t="inlineStr">
        <is>
          <t>2.4.7, 2.1.1, 2.1.2, 2.4.3</t>
        </is>
      </c>
      <c r="D14" s="9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9" t="n">
        <v>7</v>
      </c>
      <c r="B15" s="9" t="inlineStr">
        <is>
          <t>Langue de la page</t>
        </is>
      </c>
      <c r="C15" s="9" t="inlineStr">
        <is>
          <t>3.1.1, 3.1.2</t>
        </is>
      </c>
      <c r="D15" s="9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9" t="n">
        <v>8</v>
      </c>
      <c r="B16" s="9" t="inlineStr">
        <is>
          <t>Zoom à 200 %</t>
        </is>
      </c>
      <c r="C16" s="9" t="inlineStr">
        <is>
          <t>1.4.4, 1.4.10</t>
        </is>
      </c>
      <c r="D16" s="9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9" t="n">
        <v>9</v>
      </c>
      <c r="B17" s="9" t="inlineStr">
        <is>
          <t>Sous-titres vidéo</t>
        </is>
      </c>
      <c r="C17" s="9" t="inlineStr">
        <is>
          <t>1.2.2</t>
        </is>
      </c>
      <c r="D17" s="9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9" t="n">
        <v>10</v>
      </c>
      <c r="B18" s="9" t="inlineStr">
        <is>
          <t>Transcriptions audio et vidéo</t>
        </is>
      </c>
      <c r="C18" s="9" t="inlineStr">
        <is>
          <t>1.2.1</t>
        </is>
      </c>
      <c r="D18" s="9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9" t="n">
        <v>11</v>
      </c>
      <c r="B19" s="9" t="inlineStr">
        <is>
          <t>Audiodescription</t>
        </is>
      </c>
      <c r="C19" s="9" t="inlineStr">
        <is>
          <t>1.2.3, 1.2.5</t>
        </is>
      </c>
      <c r="D19" s="9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9" t="n">
        <v>12</v>
      </c>
      <c r="B20" s="9" t="inlineStr">
        <is>
          <t>Étiquettes de formulaire</t>
        </is>
      </c>
      <c r="C20" s="9" t="inlineStr">
        <is>
          <t>3.3.2, 1.3.1, 2.5.3</t>
        </is>
      </c>
      <c r="D20" s="9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9" t="n">
        <v>13</v>
      </c>
      <c r="B21" s="9" t="inlineStr">
        <is>
          <t>Champs obligatoires et erreurs</t>
        </is>
      </c>
      <c r="C21" s="9" t="inlineStr">
        <is>
          <t>3.3.2, 3.3.1, 3.3.3</t>
        </is>
      </c>
      <c r="D21" s="9" t="inlineStr">
        <is>
          <t>11.10, 11.11</t>
        </is>
      </c>
      <c r="E21" s="10" t="inlineStr">
        <is>
          <t>Soumettre un formulaire incomplet. Écouter l'annonce par le lecteur d'écran.</t>
        </is>
      </c>
      <c r="F21" s="10" t="inlineStr">
        <is>
          <t>Obligatoires indiqués textuellement et par astérisque. Légende « * champ obligatoire » présente. Messages d'erreur qui identifient le champ par son libellé.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4" t="inlineStr">
        <is>
          <t>Synthèse de la page</t>
        </is>
      </c>
    </row>
    <row r="25" ht="26" customHeight="1">
      <c r="A25" s="7" t="inlineStr">
        <is>
          <t>Conforme (C)</t>
        </is>
      </c>
      <c r="F25" s="20">
        <f>COUNTIF(G9:G21,"C")</f>
        <v/>
      </c>
    </row>
    <row r="26" ht="26" customHeight="1">
      <c r="A26" s="7" t="inlineStr">
        <is>
          <t>Non conforme (NC)</t>
        </is>
      </c>
      <c r="F26" s="20">
        <f>COUNTIF(G9:G21,"NC")</f>
        <v/>
      </c>
    </row>
    <row r="27" ht="26" customHeight="1">
      <c r="A27" s="7" t="inlineStr">
        <is>
          <t>Non applicable (NA)</t>
        </is>
      </c>
      <c r="F27" s="20">
        <f>COUNTIF(G9:G21,"NA")</f>
        <v/>
      </c>
    </row>
    <row r="28" ht="26" customHeight="1">
      <c r="A28" s="7" t="inlineStr">
        <is>
          <t>Taux de conformité Easy Checks</t>
        </is>
      </c>
      <c r="F28" s="21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0">
        <f>COUNTIFS(G9:G21,"NC",H9:H21,"Bloquant")</f>
        <v/>
      </c>
    </row>
    <row r="30" ht="26" customHeight="1">
      <c r="A30" s="7" t="inlineStr">
        <is>
          <t>Non-conformités gênantes</t>
        </is>
      </c>
      <c r="F30" s="20">
        <f>COUNTIFS(G9:G21,"NC",H9:H21,"Gênant")</f>
        <v/>
      </c>
    </row>
    <row r="31" ht="26" customHeight="1">
      <c r="A31" s="7" t="inlineStr">
        <is>
          <t>Non-conformités mineures</t>
        </is>
      </c>
      <c r="F31" s="20">
        <f>COUNTIFS(G9:G21,"NC",H9:H21,"Mineur")</f>
        <v/>
      </c>
    </row>
    <row r="33" ht="30" customHeight="1">
      <c r="A33" s="14" t="inlineStr">
        <is>
          <t>Top 3 des actions prioritaires</t>
        </is>
      </c>
    </row>
    <row r="34" ht="32" customHeight="1">
      <c r="A34" s="22" t="inlineStr">
        <is>
          <t>1.</t>
        </is>
      </c>
      <c r="B34" s="10" t="inlineStr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4" t="n"/>
    </row>
    <row r="35" ht="32" customHeight="1">
      <c r="A35" s="22" t="inlineStr">
        <is>
          <t>2.</t>
        </is>
      </c>
      <c r="B35" s="10" t="inlineStr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4" t="n"/>
    </row>
    <row r="36" ht="32" customHeight="1">
      <c r="A36" s="22" t="inlineStr">
        <is>
          <t>3.</t>
        </is>
      </c>
      <c r="B36" s="10" t="inlineStr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4" t="n"/>
    </row>
    <row r="38" ht="30" customHeight="1">
      <c r="A38" s="14" t="inlineStr">
        <is>
          <t>Mon engagement pour demain 9 h</t>
        </is>
      </c>
    </row>
    <row r="39" ht="40" customHeight="1">
      <c r="A39" s="10" t="inlineStr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4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18" t="inlineStr">
        <is>
          <t>Auditeur / auditrice</t>
        </is>
      </c>
      <c r="D1" s="2" t="inlineStr"/>
    </row>
    <row r="2" ht="26" customHeight="1">
      <c r="A2" s="18" t="inlineStr">
        <is>
          <t>Date de l'audit</t>
        </is>
      </c>
      <c r="D2" s="2" t="inlineStr"/>
    </row>
    <row r="3" ht="26" customHeight="1">
      <c r="A3" s="18" t="inlineStr">
        <is>
          <t>URL de la page auditée</t>
        </is>
      </c>
      <c r="D3" s="2" t="inlineStr"/>
    </row>
    <row r="4" ht="26" customHeight="1">
      <c r="A4" s="18" t="inlineStr">
        <is>
          <t>Intitulé de la page</t>
        </is>
      </c>
      <c r="D4" s="2" t="inlineStr">
        <is>
          <t>Page « Aide » / FAQ</t>
        </is>
      </c>
    </row>
    <row r="5" ht="26" customHeight="1">
      <c r="A5" s="18" t="inlineStr">
        <is>
          <t>Navigateur et version</t>
        </is>
      </c>
      <c r="D5" s="2" t="inlineStr"/>
    </row>
    <row r="6" ht="26" customHeight="1">
      <c r="A6" s="18" t="inlineStr">
        <is>
          <t>Outils utilisés</t>
        </is>
      </c>
      <c r="D6" s="2" t="inlineStr"/>
    </row>
    <row r="8" ht="38" customHeight="1">
      <c r="A8" s="8" t="inlineStr">
        <is>
          <t>N</t>
        </is>
      </c>
      <c r="B8" s="8" t="inlineStr">
        <is>
          <t>Easy Check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9" t="n">
        <v>1</v>
      </c>
      <c r="B9" s="9" t="inlineStr">
        <is>
          <t>Alternatives textuelles des images</t>
        </is>
      </c>
      <c r="C9" s="9" t="inlineStr">
        <is>
          <t>1.1.1</t>
        </is>
      </c>
      <c r="D9" s="9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9" t="n">
        <v>2</v>
      </c>
      <c r="B10" s="9" t="inlineStr">
        <is>
          <t>Titre de page</t>
        </is>
      </c>
      <c r="C10" s="9" t="inlineStr">
        <is>
          <t>2.4.2</t>
        </is>
      </c>
      <c r="D10" s="9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9" t="n">
        <v>3</v>
      </c>
      <c r="B11" s="9" t="inlineStr">
        <is>
          <t>Titres et hiérarchie</t>
        </is>
      </c>
      <c r="C11" s="9" t="inlineStr">
        <is>
          <t>1.3.1, 2.4.6</t>
        </is>
      </c>
      <c r="D11" s="9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9" t="n">
        <v>4</v>
      </c>
      <c r="B12" s="9" t="inlineStr">
        <is>
          <t>Contraste des couleurs</t>
        </is>
      </c>
      <c r="C12" s="9" t="inlineStr">
        <is>
          <t>1.4.3, 1.4.11</t>
        </is>
      </c>
      <c r="D12" s="9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9" t="n">
        <v>5</v>
      </c>
      <c r="B13" s="9" t="inlineStr">
        <is>
          <t>Lien d'évitement</t>
        </is>
      </c>
      <c r="C13" s="9" t="inlineStr">
        <is>
          <t>2.4.1</t>
        </is>
      </c>
      <c r="D13" s="9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9" t="n">
        <v>6</v>
      </c>
      <c r="B14" s="9" t="inlineStr">
        <is>
          <t>Focus et navigation clavier</t>
        </is>
      </c>
      <c r="C14" s="9" t="inlineStr">
        <is>
          <t>2.4.7, 2.1.1, 2.1.2, 2.4.3</t>
        </is>
      </c>
      <c r="D14" s="9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9" t="n">
        <v>7</v>
      </c>
      <c r="B15" s="9" t="inlineStr">
        <is>
          <t>Langue de la page</t>
        </is>
      </c>
      <c r="C15" s="9" t="inlineStr">
        <is>
          <t>3.1.1, 3.1.2</t>
        </is>
      </c>
      <c r="D15" s="9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9" t="n">
        <v>8</v>
      </c>
      <c r="B16" s="9" t="inlineStr">
        <is>
          <t>Zoom à 200 %</t>
        </is>
      </c>
      <c r="C16" s="9" t="inlineStr">
        <is>
          <t>1.4.4, 1.4.10</t>
        </is>
      </c>
      <c r="D16" s="9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9" t="n">
        <v>9</v>
      </c>
      <c r="B17" s="9" t="inlineStr">
        <is>
          <t>Sous-titres vidéo</t>
        </is>
      </c>
      <c r="C17" s="9" t="inlineStr">
        <is>
          <t>1.2.2</t>
        </is>
      </c>
      <c r="D17" s="9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9" t="n">
        <v>10</v>
      </c>
      <c r="B18" s="9" t="inlineStr">
        <is>
          <t>Transcriptions audio et vidéo</t>
        </is>
      </c>
      <c r="C18" s="9" t="inlineStr">
        <is>
          <t>1.2.1</t>
        </is>
      </c>
      <c r="D18" s="9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9" t="n">
        <v>11</v>
      </c>
      <c r="B19" s="9" t="inlineStr">
        <is>
          <t>Audiodescription</t>
        </is>
      </c>
      <c r="C19" s="9" t="inlineStr">
        <is>
          <t>1.2.3, 1.2.5</t>
        </is>
      </c>
      <c r="D19" s="9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9" t="n">
        <v>12</v>
      </c>
      <c r="B20" s="9" t="inlineStr">
        <is>
          <t>Étiquettes de formulaire</t>
        </is>
      </c>
      <c r="C20" s="9" t="inlineStr">
        <is>
          <t>3.3.2, 1.3.1, 2.5.3</t>
        </is>
      </c>
      <c r="D20" s="9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9" t="n">
        <v>13</v>
      </c>
      <c r="B21" s="9" t="inlineStr">
        <is>
          <t>Champs obligatoires et erreurs</t>
        </is>
      </c>
      <c r="C21" s="9" t="inlineStr">
        <is>
          <t>3.3.2, 3.3.1, 3.3.3</t>
        </is>
      </c>
      <c r="D21" s="9" t="inlineStr">
        <is>
          <t>11.10, 11.11</t>
        </is>
      </c>
      <c r="E21" s="10" t="inlineStr">
        <is>
          <t>Soumettre un formulaire incomplet. Écouter l'annonce par le lecteur d'écran.</t>
        </is>
      </c>
      <c r="F21" s="10" t="inlineStr">
        <is>
          <t>Obligatoires indiqués textuellement et par astérisque. Légende « * champ obligatoire » présente. Messages d'erreur qui identifient le champ par son libellé.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4" t="inlineStr">
        <is>
          <t>Synthèse de la page</t>
        </is>
      </c>
    </row>
    <row r="25" ht="26" customHeight="1">
      <c r="A25" s="7" t="inlineStr">
        <is>
          <t>Conforme (C)</t>
        </is>
      </c>
      <c r="F25" s="20">
        <f>COUNTIF(G9:G21,"C")</f>
        <v/>
      </c>
    </row>
    <row r="26" ht="26" customHeight="1">
      <c r="A26" s="7" t="inlineStr">
        <is>
          <t>Non conforme (NC)</t>
        </is>
      </c>
      <c r="F26" s="20">
        <f>COUNTIF(G9:G21,"NC")</f>
        <v/>
      </c>
    </row>
    <row r="27" ht="26" customHeight="1">
      <c r="A27" s="7" t="inlineStr">
        <is>
          <t>Non applicable (NA)</t>
        </is>
      </c>
      <c r="F27" s="20">
        <f>COUNTIF(G9:G21,"NA")</f>
        <v/>
      </c>
    </row>
    <row r="28" ht="26" customHeight="1">
      <c r="A28" s="7" t="inlineStr">
        <is>
          <t>Taux de conformité Easy Checks</t>
        </is>
      </c>
      <c r="F28" s="21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0">
        <f>COUNTIFS(G9:G21,"NC",H9:H21,"Bloquant")</f>
        <v/>
      </c>
    </row>
    <row r="30" ht="26" customHeight="1">
      <c r="A30" s="7" t="inlineStr">
        <is>
          <t>Non-conformités gênantes</t>
        </is>
      </c>
      <c r="F30" s="20">
        <f>COUNTIFS(G9:G21,"NC",H9:H21,"Gênant")</f>
        <v/>
      </c>
    </row>
    <row r="31" ht="26" customHeight="1">
      <c r="A31" s="7" t="inlineStr">
        <is>
          <t>Non-conformités mineures</t>
        </is>
      </c>
      <c r="F31" s="20">
        <f>COUNTIFS(G9:G21,"NC",H9:H21,"Mineur")</f>
        <v/>
      </c>
    </row>
    <row r="33" ht="30" customHeight="1">
      <c r="A33" s="14" t="inlineStr">
        <is>
          <t>Top 3 des actions prioritaires</t>
        </is>
      </c>
    </row>
    <row r="34" ht="32" customHeight="1">
      <c r="A34" s="22" t="inlineStr">
        <is>
          <t>1.</t>
        </is>
      </c>
      <c r="B34" s="10" t="inlineStr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4" t="n"/>
    </row>
    <row r="35" ht="32" customHeight="1">
      <c r="A35" s="22" t="inlineStr">
        <is>
          <t>2.</t>
        </is>
      </c>
      <c r="B35" s="10" t="inlineStr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4" t="n"/>
    </row>
    <row r="36" ht="32" customHeight="1">
      <c r="A36" s="22" t="inlineStr">
        <is>
          <t>3.</t>
        </is>
      </c>
      <c r="B36" s="10" t="inlineStr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4" t="n"/>
    </row>
    <row r="38" ht="30" customHeight="1">
      <c r="A38" s="14" t="inlineStr">
        <is>
          <t>Mon engagement pour demain 9 h</t>
        </is>
      </c>
    </row>
    <row r="39" ht="40" customHeight="1">
      <c r="A39" s="10" t="inlineStr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4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18" t="inlineStr">
        <is>
          <t>Auditeur / auditrice</t>
        </is>
      </c>
      <c r="D1" s="2" t="inlineStr"/>
    </row>
    <row r="2" ht="26" customHeight="1">
      <c r="A2" s="18" t="inlineStr">
        <is>
          <t>Date de l'audit</t>
        </is>
      </c>
      <c r="D2" s="2" t="inlineStr"/>
    </row>
    <row r="3" ht="26" customHeight="1">
      <c r="A3" s="18" t="inlineStr">
        <is>
          <t>URL de la page auditée</t>
        </is>
      </c>
      <c r="D3" s="2" t="inlineStr"/>
    </row>
    <row r="4" ht="26" customHeight="1">
      <c r="A4" s="18" t="inlineStr">
        <is>
          <t>Intitulé de la page</t>
        </is>
      </c>
      <c r="D4" s="2" t="inlineStr">
        <is>
          <t>Page d'authentification / connexion</t>
        </is>
      </c>
    </row>
    <row r="5" ht="26" customHeight="1">
      <c r="A5" s="18" t="inlineStr">
        <is>
          <t>Navigateur et version</t>
        </is>
      </c>
      <c r="D5" s="2" t="inlineStr"/>
    </row>
    <row r="6" ht="26" customHeight="1">
      <c r="A6" s="18" t="inlineStr">
        <is>
          <t>Outils utilisés</t>
        </is>
      </c>
      <c r="D6" s="2" t="inlineStr"/>
    </row>
    <row r="8" ht="38" customHeight="1">
      <c r="A8" s="8" t="inlineStr">
        <is>
          <t>N</t>
        </is>
      </c>
      <c r="B8" s="8" t="inlineStr">
        <is>
          <t>Easy Check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9" t="n">
        <v>1</v>
      </c>
      <c r="B9" s="9" t="inlineStr">
        <is>
          <t>Alternatives textuelles des images</t>
        </is>
      </c>
      <c r="C9" s="9" t="inlineStr">
        <is>
          <t>1.1.1</t>
        </is>
      </c>
      <c r="D9" s="9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9" t="n">
        <v>2</v>
      </c>
      <c r="B10" s="9" t="inlineStr">
        <is>
          <t>Titre de page</t>
        </is>
      </c>
      <c r="C10" s="9" t="inlineStr">
        <is>
          <t>2.4.2</t>
        </is>
      </c>
      <c r="D10" s="9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9" t="n">
        <v>3</v>
      </c>
      <c r="B11" s="9" t="inlineStr">
        <is>
          <t>Titres et hiérarchie</t>
        </is>
      </c>
      <c r="C11" s="9" t="inlineStr">
        <is>
          <t>1.3.1, 2.4.6</t>
        </is>
      </c>
      <c r="D11" s="9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9" t="n">
        <v>4</v>
      </c>
      <c r="B12" s="9" t="inlineStr">
        <is>
          <t>Contraste des couleurs</t>
        </is>
      </c>
      <c r="C12" s="9" t="inlineStr">
        <is>
          <t>1.4.3, 1.4.11</t>
        </is>
      </c>
      <c r="D12" s="9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9" t="n">
        <v>5</v>
      </c>
      <c r="B13" s="9" t="inlineStr">
        <is>
          <t>Lien d'évitement</t>
        </is>
      </c>
      <c r="C13" s="9" t="inlineStr">
        <is>
          <t>2.4.1</t>
        </is>
      </c>
      <c r="D13" s="9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9" t="n">
        <v>6</v>
      </c>
      <c r="B14" s="9" t="inlineStr">
        <is>
          <t>Focus et navigation clavier</t>
        </is>
      </c>
      <c r="C14" s="9" t="inlineStr">
        <is>
          <t>2.4.7, 2.1.1, 2.1.2, 2.4.3</t>
        </is>
      </c>
      <c r="D14" s="9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9" t="n">
        <v>7</v>
      </c>
      <c r="B15" s="9" t="inlineStr">
        <is>
          <t>Langue de la page</t>
        </is>
      </c>
      <c r="C15" s="9" t="inlineStr">
        <is>
          <t>3.1.1, 3.1.2</t>
        </is>
      </c>
      <c r="D15" s="9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9" t="n">
        <v>8</v>
      </c>
      <c r="B16" s="9" t="inlineStr">
        <is>
          <t>Zoom à 200 %</t>
        </is>
      </c>
      <c r="C16" s="9" t="inlineStr">
        <is>
          <t>1.4.4, 1.4.10</t>
        </is>
      </c>
      <c r="D16" s="9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9" t="n">
        <v>9</v>
      </c>
      <c r="B17" s="9" t="inlineStr">
        <is>
          <t>Sous-titres vidéo</t>
        </is>
      </c>
      <c r="C17" s="9" t="inlineStr">
        <is>
          <t>1.2.2</t>
        </is>
      </c>
      <c r="D17" s="9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9" t="n">
        <v>10</v>
      </c>
      <c r="B18" s="9" t="inlineStr">
        <is>
          <t>Transcriptions audio et vidéo</t>
        </is>
      </c>
      <c r="C18" s="9" t="inlineStr">
        <is>
          <t>1.2.1</t>
        </is>
      </c>
      <c r="D18" s="9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9" t="n">
        <v>11</v>
      </c>
      <c r="B19" s="9" t="inlineStr">
        <is>
          <t>Audiodescription</t>
        </is>
      </c>
      <c r="C19" s="9" t="inlineStr">
        <is>
          <t>1.2.3, 1.2.5</t>
        </is>
      </c>
      <c r="D19" s="9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9" t="n">
        <v>12</v>
      </c>
      <c r="B20" s="9" t="inlineStr">
        <is>
          <t>Étiquettes de formulaire</t>
        </is>
      </c>
      <c r="C20" s="9" t="inlineStr">
        <is>
          <t>3.3.2, 1.3.1, 2.5.3</t>
        </is>
      </c>
      <c r="D20" s="9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9" t="n">
        <v>13</v>
      </c>
      <c r="B21" s="9" t="inlineStr">
        <is>
          <t>Champs obligatoires et erreurs</t>
        </is>
      </c>
      <c r="C21" s="9" t="inlineStr">
        <is>
          <t>3.3.2, 3.3.1, 3.3.3</t>
        </is>
      </c>
      <c r="D21" s="9" t="inlineStr">
        <is>
          <t>11.10, 11.11</t>
        </is>
      </c>
      <c r="E21" s="10" t="inlineStr">
        <is>
          <t>Soumettre un formulaire incomplet. Écouter l'annonce par le lecteur d'écran.</t>
        </is>
      </c>
      <c r="F21" s="10" t="inlineStr">
        <is>
          <t>Obligatoires indiqués textuellement et par astérisque. Légende « * champ obligatoire » présente. Messages d'erreur qui identifient le champ par son libellé.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4" t="inlineStr">
        <is>
          <t>Synthèse de la page</t>
        </is>
      </c>
    </row>
    <row r="25" ht="26" customHeight="1">
      <c r="A25" s="7" t="inlineStr">
        <is>
          <t>Conforme (C)</t>
        </is>
      </c>
      <c r="F25" s="20">
        <f>COUNTIF(G9:G21,"C")</f>
        <v/>
      </c>
    </row>
    <row r="26" ht="26" customHeight="1">
      <c r="A26" s="7" t="inlineStr">
        <is>
          <t>Non conforme (NC)</t>
        </is>
      </c>
      <c r="F26" s="20">
        <f>COUNTIF(G9:G21,"NC")</f>
        <v/>
      </c>
    </row>
    <row r="27" ht="26" customHeight="1">
      <c r="A27" s="7" t="inlineStr">
        <is>
          <t>Non applicable (NA)</t>
        </is>
      </c>
      <c r="F27" s="20">
        <f>COUNTIF(G9:G21,"NA")</f>
        <v/>
      </c>
    </row>
    <row r="28" ht="26" customHeight="1">
      <c r="A28" s="7" t="inlineStr">
        <is>
          <t>Taux de conformité Easy Checks</t>
        </is>
      </c>
      <c r="F28" s="21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0">
        <f>COUNTIFS(G9:G21,"NC",H9:H21,"Bloquant")</f>
        <v/>
      </c>
    </row>
    <row r="30" ht="26" customHeight="1">
      <c r="A30" s="7" t="inlineStr">
        <is>
          <t>Non-conformités gênantes</t>
        </is>
      </c>
      <c r="F30" s="20">
        <f>COUNTIFS(G9:G21,"NC",H9:H21,"Gênant")</f>
        <v/>
      </c>
    </row>
    <row r="31" ht="26" customHeight="1">
      <c r="A31" s="7" t="inlineStr">
        <is>
          <t>Non-conformités mineures</t>
        </is>
      </c>
      <c r="F31" s="20">
        <f>COUNTIFS(G9:G21,"NC",H9:H21,"Mineur")</f>
        <v/>
      </c>
    </row>
    <row r="33" ht="30" customHeight="1">
      <c r="A33" s="14" t="inlineStr">
        <is>
          <t>Top 3 des actions prioritaires</t>
        </is>
      </c>
    </row>
    <row r="34" ht="32" customHeight="1">
      <c r="A34" s="22" t="inlineStr">
        <is>
          <t>1.</t>
        </is>
      </c>
      <c r="B34" s="10" t="inlineStr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4" t="n"/>
    </row>
    <row r="35" ht="32" customHeight="1">
      <c r="A35" s="22" t="inlineStr">
        <is>
          <t>2.</t>
        </is>
      </c>
      <c r="B35" s="10" t="inlineStr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4" t="n"/>
    </row>
    <row r="36" ht="32" customHeight="1">
      <c r="A36" s="22" t="inlineStr">
        <is>
          <t>3.</t>
        </is>
      </c>
      <c r="B36" s="10" t="inlineStr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4" t="n"/>
    </row>
    <row r="38" ht="30" customHeight="1">
      <c r="A38" s="14" t="inlineStr">
        <is>
          <t>Mon engagement pour demain 9 h</t>
        </is>
      </c>
    </row>
    <row r="39" ht="40" customHeight="1">
      <c r="A39" s="10" t="inlineStr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4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18" t="inlineStr">
        <is>
          <t>Auditeur / auditrice</t>
        </is>
      </c>
      <c r="D1" s="2" t="inlineStr"/>
    </row>
    <row r="2" ht="26" customHeight="1">
      <c r="A2" s="18" t="inlineStr">
        <is>
          <t>Date de l'audit</t>
        </is>
      </c>
      <c r="D2" s="2" t="inlineStr"/>
    </row>
    <row r="3" ht="26" customHeight="1">
      <c r="A3" s="18" t="inlineStr">
        <is>
          <t>URL de la page auditée</t>
        </is>
      </c>
      <c r="D3" s="2" t="inlineStr"/>
    </row>
    <row r="4" ht="26" customHeight="1">
      <c r="A4" s="18" t="inlineStr">
        <is>
          <t>Intitulé de la page</t>
        </is>
      </c>
      <c r="D4" s="2" t="inlineStr">
        <is>
          <t>Page de résultats de recherche</t>
        </is>
      </c>
    </row>
    <row r="5" ht="26" customHeight="1">
      <c r="A5" s="18" t="inlineStr">
        <is>
          <t>Navigateur et version</t>
        </is>
      </c>
      <c r="D5" s="2" t="inlineStr"/>
    </row>
    <row r="6" ht="26" customHeight="1">
      <c r="A6" s="18" t="inlineStr">
        <is>
          <t>Outils utilisés</t>
        </is>
      </c>
      <c r="D6" s="2" t="inlineStr"/>
    </row>
    <row r="8" ht="38" customHeight="1">
      <c r="A8" s="8" t="inlineStr">
        <is>
          <t>N</t>
        </is>
      </c>
      <c r="B8" s="8" t="inlineStr">
        <is>
          <t>Easy Check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9" t="n">
        <v>1</v>
      </c>
      <c r="B9" s="9" t="inlineStr">
        <is>
          <t>Alternatives textuelles des images</t>
        </is>
      </c>
      <c r="C9" s="9" t="inlineStr">
        <is>
          <t>1.1.1</t>
        </is>
      </c>
      <c r="D9" s="9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9" t="n">
        <v>2</v>
      </c>
      <c r="B10" s="9" t="inlineStr">
        <is>
          <t>Titre de page</t>
        </is>
      </c>
      <c r="C10" s="9" t="inlineStr">
        <is>
          <t>2.4.2</t>
        </is>
      </c>
      <c r="D10" s="9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9" t="n">
        <v>3</v>
      </c>
      <c r="B11" s="9" t="inlineStr">
        <is>
          <t>Titres et hiérarchie</t>
        </is>
      </c>
      <c r="C11" s="9" t="inlineStr">
        <is>
          <t>1.3.1, 2.4.6</t>
        </is>
      </c>
      <c r="D11" s="9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9" t="n">
        <v>4</v>
      </c>
      <c r="B12" s="9" t="inlineStr">
        <is>
          <t>Contraste des couleurs</t>
        </is>
      </c>
      <c r="C12" s="9" t="inlineStr">
        <is>
          <t>1.4.3, 1.4.11</t>
        </is>
      </c>
      <c r="D12" s="9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9" t="n">
        <v>5</v>
      </c>
      <c r="B13" s="9" t="inlineStr">
        <is>
          <t>Lien d'évitement</t>
        </is>
      </c>
      <c r="C13" s="9" t="inlineStr">
        <is>
          <t>2.4.1</t>
        </is>
      </c>
      <c r="D13" s="9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9" t="n">
        <v>6</v>
      </c>
      <c r="B14" s="9" t="inlineStr">
        <is>
          <t>Focus et navigation clavier</t>
        </is>
      </c>
      <c r="C14" s="9" t="inlineStr">
        <is>
          <t>2.4.7, 2.1.1, 2.1.2, 2.4.3</t>
        </is>
      </c>
      <c r="D14" s="9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9" t="n">
        <v>7</v>
      </c>
      <c r="B15" s="9" t="inlineStr">
        <is>
          <t>Langue de la page</t>
        </is>
      </c>
      <c r="C15" s="9" t="inlineStr">
        <is>
          <t>3.1.1, 3.1.2</t>
        </is>
      </c>
      <c r="D15" s="9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9" t="n">
        <v>8</v>
      </c>
      <c r="B16" s="9" t="inlineStr">
        <is>
          <t>Zoom à 200 %</t>
        </is>
      </c>
      <c r="C16" s="9" t="inlineStr">
        <is>
          <t>1.4.4, 1.4.10</t>
        </is>
      </c>
      <c r="D16" s="9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9" t="n">
        <v>9</v>
      </c>
      <c r="B17" s="9" t="inlineStr">
        <is>
          <t>Sous-titres vidéo</t>
        </is>
      </c>
      <c r="C17" s="9" t="inlineStr">
        <is>
          <t>1.2.2</t>
        </is>
      </c>
      <c r="D17" s="9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9" t="n">
        <v>10</v>
      </c>
      <c r="B18" s="9" t="inlineStr">
        <is>
          <t>Transcriptions audio et vidéo</t>
        </is>
      </c>
      <c r="C18" s="9" t="inlineStr">
        <is>
          <t>1.2.1</t>
        </is>
      </c>
      <c r="D18" s="9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9" t="n">
        <v>11</v>
      </c>
      <c r="B19" s="9" t="inlineStr">
        <is>
          <t>Audiodescription</t>
        </is>
      </c>
      <c r="C19" s="9" t="inlineStr">
        <is>
          <t>1.2.3, 1.2.5</t>
        </is>
      </c>
      <c r="D19" s="9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9" t="n">
        <v>12</v>
      </c>
      <c r="B20" s="9" t="inlineStr">
        <is>
          <t>Étiquettes de formulaire</t>
        </is>
      </c>
      <c r="C20" s="9" t="inlineStr">
        <is>
          <t>3.3.2, 1.3.1, 2.5.3</t>
        </is>
      </c>
      <c r="D20" s="9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9" t="n">
        <v>13</v>
      </c>
      <c r="B21" s="9" t="inlineStr">
        <is>
          <t>Champs obligatoires et erreurs</t>
        </is>
      </c>
      <c r="C21" s="9" t="inlineStr">
        <is>
          <t>3.3.2, 3.3.1, 3.3.3</t>
        </is>
      </c>
      <c r="D21" s="9" t="inlineStr">
        <is>
          <t>11.10, 11.11</t>
        </is>
      </c>
      <c r="E21" s="10" t="inlineStr">
        <is>
          <t>Soumettre un formulaire incomplet. Écouter l'annonce par le lecteur d'écran.</t>
        </is>
      </c>
      <c r="F21" s="10" t="inlineStr">
        <is>
          <t>Obligatoires indiqués textuellement et par astérisque. Légende « * champ obligatoire » présente. Messages d'erreur qui identifient le champ par son libellé.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4" t="inlineStr">
        <is>
          <t>Synthèse de la page</t>
        </is>
      </c>
    </row>
    <row r="25" ht="26" customHeight="1">
      <c r="A25" s="7" t="inlineStr">
        <is>
          <t>Conforme (C)</t>
        </is>
      </c>
      <c r="F25" s="20">
        <f>COUNTIF(G9:G21,"C")</f>
        <v/>
      </c>
    </row>
    <row r="26" ht="26" customHeight="1">
      <c r="A26" s="7" t="inlineStr">
        <is>
          <t>Non conforme (NC)</t>
        </is>
      </c>
      <c r="F26" s="20">
        <f>COUNTIF(G9:G21,"NC")</f>
        <v/>
      </c>
    </row>
    <row r="27" ht="26" customHeight="1">
      <c r="A27" s="7" t="inlineStr">
        <is>
          <t>Non applicable (NA)</t>
        </is>
      </c>
      <c r="F27" s="20">
        <f>COUNTIF(G9:G21,"NA")</f>
        <v/>
      </c>
    </row>
    <row r="28" ht="26" customHeight="1">
      <c r="A28" s="7" t="inlineStr">
        <is>
          <t>Taux de conformité Easy Checks</t>
        </is>
      </c>
      <c r="F28" s="21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0">
        <f>COUNTIFS(G9:G21,"NC",H9:H21,"Bloquant")</f>
        <v/>
      </c>
    </row>
    <row r="30" ht="26" customHeight="1">
      <c r="A30" s="7" t="inlineStr">
        <is>
          <t>Non-conformités gênantes</t>
        </is>
      </c>
      <c r="F30" s="20">
        <f>COUNTIFS(G9:G21,"NC",H9:H21,"Gênant")</f>
        <v/>
      </c>
    </row>
    <row r="31" ht="26" customHeight="1">
      <c r="A31" s="7" t="inlineStr">
        <is>
          <t>Non-conformités mineures</t>
        </is>
      </c>
      <c r="F31" s="20">
        <f>COUNTIFS(G9:G21,"NC",H9:H21,"Mineur")</f>
        <v/>
      </c>
    </row>
    <row r="33" ht="30" customHeight="1">
      <c r="A33" s="14" t="inlineStr">
        <is>
          <t>Top 3 des actions prioritaires</t>
        </is>
      </c>
    </row>
    <row r="34" ht="32" customHeight="1">
      <c r="A34" s="22" t="inlineStr">
        <is>
          <t>1.</t>
        </is>
      </c>
      <c r="B34" s="10" t="inlineStr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4" t="n"/>
    </row>
    <row r="35" ht="32" customHeight="1">
      <c r="A35" s="22" t="inlineStr">
        <is>
          <t>2.</t>
        </is>
      </c>
      <c r="B35" s="10" t="inlineStr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4" t="n"/>
    </row>
    <row r="36" ht="32" customHeight="1">
      <c r="A36" s="22" t="inlineStr">
        <is>
          <t>3.</t>
        </is>
      </c>
      <c r="B36" s="10" t="inlineStr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4" t="n"/>
    </row>
    <row r="38" ht="30" customHeight="1">
      <c r="A38" s="14" t="inlineStr">
        <is>
          <t>Mon engagement pour demain 9 h</t>
        </is>
      </c>
    </row>
    <row r="39" ht="40" customHeight="1">
      <c r="A39" s="10" t="inlineStr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4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18" t="inlineStr">
        <is>
          <t>Auditeur / auditrice</t>
        </is>
      </c>
      <c r="D1" s="2" t="inlineStr"/>
    </row>
    <row r="2" ht="26" customHeight="1">
      <c r="A2" s="18" t="inlineStr">
        <is>
          <t>Date de l'audit</t>
        </is>
      </c>
      <c r="D2" s="2" t="inlineStr"/>
    </row>
    <row r="3" ht="26" customHeight="1">
      <c r="A3" s="18" t="inlineStr">
        <is>
          <t>URL de la page auditée</t>
        </is>
      </c>
      <c r="D3" s="2" t="inlineStr"/>
    </row>
    <row r="4" ht="26" customHeight="1">
      <c r="A4" s="18" t="inlineStr">
        <is>
          <t>Intitulé de la page</t>
        </is>
      </c>
      <c r="D4" s="2" t="inlineStr">
        <is>
          <t>Document téléchargeable (PDF, DOCX, ODT)</t>
        </is>
      </c>
    </row>
    <row r="5" ht="26" customHeight="1">
      <c r="A5" s="18" t="inlineStr">
        <is>
          <t>Navigateur et version</t>
        </is>
      </c>
      <c r="D5" s="2" t="inlineStr"/>
    </row>
    <row r="6" ht="26" customHeight="1">
      <c r="A6" s="18" t="inlineStr">
        <is>
          <t>Outils utilisés</t>
        </is>
      </c>
      <c r="D6" s="2" t="inlineStr"/>
    </row>
    <row r="7" ht="52" customHeight="1">
      <c r="A7" s="6" t="inlineStr">
        <is>
          <t>Attention : les 13 Easy Checks web ne couvrent que partiellement les documents. Pour un audit formel des PDF / DOCX / ODT, utiliser PAC 2024 (outil gratuit), Acrobat Pro ou Axes4.</t>
        </is>
      </c>
    </row>
    <row r="8" ht="38" customHeight="1">
      <c r="A8" s="8" t="inlineStr">
        <is>
          <t>N</t>
        </is>
      </c>
      <c r="B8" s="8" t="inlineStr">
        <is>
          <t>Easy Check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9" t="n">
        <v>1</v>
      </c>
      <c r="B9" s="9" t="inlineStr">
        <is>
          <t>Alternatives textuelles des images</t>
        </is>
      </c>
      <c r="C9" s="9" t="inlineStr">
        <is>
          <t>1.1.1</t>
        </is>
      </c>
      <c r="D9" s="9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9" t="n">
        <v>2</v>
      </c>
      <c r="B10" s="9" t="inlineStr">
        <is>
          <t>Titre de page</t>
        </is>
      </c>
      <c r="C10" s="9" t="inlineStr">
        <is>
          <t>2.4.2</t>
        </is>
      </c>
      <c r="D10" s="9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9" t="n">
        <v>3</v>
      </c>
      <c r="B11" s="9" t="inlineStr">
        <is>
          <t>Titres et hiérarchie</t>
        </is>
      </c>
      <c r="C11" s="9" t="inlineStr">
        <is>
          <t>1.3.1, 2.4.6</t>
        </is>
      </c>
      <c r="D11" s="9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9" t="n">
        <v>4</v>
      </c>
      <c r="B12" s="9" t="inlineStr">
        <is>
          <t>Contraste des couleurs</t>
        </is>
      </c>
      <c r="C12" s="9" t="inlineStr">
        <is>
          <t>1.4.3, 1.4.11</t>
        </is>
      </c>
      <c r="D12" s="9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9" t="n">
        <v>5</v>
      </c>
      <c r="B13" s="9" t="inlineStr">
        <is>
          <t>Lien d'évitement</t>
        </is>
      </c>
      <c r="C13" s="9" t="inlineStr">
        <is>
          <t>2.4.1</t>
        </is>
      </c>
      <c r="D13" s="9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9" t="n">
        <v>6</v>
      </c>
      <c r="B14" s="9" t="inlineStr">
        <is>
          <t>Focus et navigation clavier</t>
        </is>
      </c>
      <c r="C14" s="9" t="inlineStr">
        <is>
          <t>2.4.7, 2.1.1, 2.1.2, 2.4.3</t>
        </is>
      </c>
      <c r="D14" s="9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9" t="n">
        <v>7</v>
      </c>
      <c r="B15" s="9" t="inlineStr">
        <is>
          <t>Langue de la page</t>
        </is>
      </c>
      <c r="C15" s="9" t="inlineStr">
        <is>
          <t>3.1.1, 3.1.2</t>
        </is>
      </c>
      <c r="D15" s="9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9" t="n">
        <v>8</v>
      </c>
      <c r="B16" s="9" t="inlineStr">
        <is>
          <t>Zoom à 200 %</t>
        </is>
      </c>
      <c r="C16" s="9" t="inlineStr">
        <is>
          <t>1.4.4, 1.4.10</t>
        </is>
      </c>
      <c r="D16" s="9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9" t="n">
        <v>9</v>
      </c>
      <c r="B17" s="9" t="inlineStr">
        <is>
          <t>Sous-titres vidéo</t>
        </is>
      </c>
      <c r="C17" s="9" t="inlineStr">
        <is>
          <t>1.2.2</t>
        </is>
      </c>
      <c r="D17" s="9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9" t="n">
        <v>10</v>
      </c>
      <c r="B18" s="9" t="inlineStr">
        <is>
          <t>Transcriptions audio et vidéo</t>
        </is>
      </c>
      <c r="C18" s="9" t="inlineStr">
        <is>
          <t>1.2.1</t>
        </is>
      </c>
      <c r="D18" s="9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9" t="n">
        <v>11</v>
      </c>
      <c r="B19" s="9" t="inlineStr">
        <is>
          <t>Audiodescription</t>
        </is>
      </c>
      <c r="C19" s="9" t="inlineStr">
        <is>
          <t>1.2.3, 1.2.5</t>
        </is>
      </c>
      <c r="D19" s="9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9" t="n">
        <v>12</v>
      </c>
      <c r="B20" s="9" t="inlineStr">
        <is>
          <t>Étiquettes de formulaire</t>
        </is>
      </c>
      <c r="C20" s="9" t="inlineStr">
        <is>
          <t>3.3.2, 1.3.1, 2.5.3</t>
        </is>
      </c>
      <c r="D20" s="9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9" t="n">
        <v>13</v>
      </c>
      <c r="B21" s="9" t="inlineStr">
        <is>
          <t>Champs obligatoires et erreurs</t>
        </is>
      </c>
      <c r="C21" s="9" t="inlineStr">
        <is>
          <t>3.3.2, 3.3.1, 3.3.3</t>
        </is>
      </c>
      <c r="D21" s="9" t="inlineStr">
        <is>
          <t>11.10, 11.11</t>
        </is>
      </c>
      <c r="E21" s="10" t="inlineStr">
        <is>
          <t>Soumettre un formulaire incomplet. Écouter l'annonce par le lecteur d'écran.</t>
        </is>
      </c>
      <c r="F21" s="10" t="inlineStr">
        <is>
          <t>Obligatoires indiqués textuellement et par astérisque. Légende « * champ obligatoire » présente. Messages d'erreur qui identifient le champ par son libellé.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4" t="inlineStr">
        <is>
          <t>Synthèse de la page</t>
        </is>
      </c>
    </row>
    <row r="25" ht="26" customHeight="1">
      <c r="A25" s="7" t="inlineStr">
        <is>
          <t>Conforme (C)</t>
        </is>
      </c>
      <c r="F25" s="20">
        <f>COUNTIF(G9:G21,"C")</f>
        <v/>
      </c>
    </row>
    <row r="26" ht="26" customHeight="1">
      <c r="A26" s="7" t="inlineStr">
        <is>
          <t>Non conforme (NC)</t>
        </is>
      </c>
      <c r="F26" s="20">
        <f>COUNTIF(G9:G21,"NC")</f>
        <v/>
      </c>
    </row>
    <row r="27" ht="26" customHeight="1">
      <c r="A27" s="7" t="inlineStr">
        <is>
          <t>Non applicable (NA)</t>
        </is>
      </c>
      <c r="F27" s="20">
        <f>COUNTIF(G9:G21,"NA")</f>
        <v/>
      </c>
    </row>
    <row r="28" ht="26" customHeight="1">
      <c r="A28" s="7" t="inlineStr">
        <is>
          <t>Taux de conformité Easy Checks</t>
        </is>
      </c>
      <c r="F28" s="21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0">
        <f>COUNTIFS(G9:G21,"NC",H9:H21,"Bloquant")</f>
        <v/>
      </c>
    </row>
    <row r="30" ht="26" customHeight="1">
      <c r="A30" s="7" t="inlineStr">
        <is>
          <t>Non-conformités gênantes</t>
        </is>
      </c>
      <c r="F30" s="20">
        <f>COUNTIFS(G9:G21,"NC",H9:H21,"Gênant")</f>
        <v/>
      </c>
    </row>
    <row r="31" ht="26" customHeight="1">
      <c r="A31" s="7" t="inlineStr">
        <is>
          <t>Non-conformités mineures</t>
        </is>
      </c>
      <c r="F31" s="20">
        <f>COUNTIFS(G9:G21,"NC",H9:H21,"Mineur")</f>
        <v/>
      </c>
    </row>
    <row r="33" ht="30" customHeight="1">
      <c r="A33" s="14" t="inlineStr">
        <is>
          <t>Top 3 des actions prioritaires</t>
        </is>
      </c>
    </row>
    <row r="34" ht="32" customHeight="1">
      <c r="A34" s="22" t="inlineStr">
        <is>
          <t>1.</t>
        </is>
      </c>
      <c r="B34" s="10" t="inlineStr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4" t="n"/>
    </row>
    <row r="35" ht="32" customHeight="1">
      <c r="A35" s="22" t="inlineStr">
        <is>
          <t>2.</t>
        </is>
      </c>
      <c r="B35" s="10" t="inlineStr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4" t="n"/>
    </row>
    <row r="36" ht="32" customHeight="1">
      <c r="A36" s="22" t="inlineStr">
        <is>
          <t>3.</t>
        </is>
      </c>
      <c r="B36" s="10" t="inlineStr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4" t="n"/>
    </row>
    <row r="38" ht="30" customHeight="1">
      <c r="A38" s="14" t="inlineStr">
        <is>
          <t>Mon engagement pour demain 9 h</t>
        </is>
      </c>
    </row>
    <row r="39" ht="40" customHeight="1">
      <c r="A39" s="10" t="inlineStr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4" t="n"/>
    </row>
  </sheetData>
  <mergeCells count="27">
    <mergeCell ref="A30:E30"/>
    <mergeCell ref="A39:K39"/>
    <mergeCell ref="D1:K1"/>
    <mergeCell ref="A3:C3"/>
    <mergeCell ref="A2:C2"/>
    <mergeCell ref="B36:K36"/>
    <mergeCell ref="A5:C5"/>
    <mergeCell ref="D6:K6"/>
    <mergeCell ref="A7:K7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18" t="inlineStr">
        <is>
          <t>Auditeur / auditrice</t>
        </is>
      </c>
      <c r="D1" s="2" t="inlineStr"/>
    </row>
    <row r="2" ht="26" customHeight="1">
      <c r="A2" s="18" t="inlineStr">
        <is>
          <t>Date de l'audit</t>
        </is>
      </c>
      <c r="D2" s="2" t="inlineStr"/>
    </row>
    <row r="3" ht="26" customHeight="1">
      <c r="A3" s="18" t="inlineStr">
        <is>
          <t>URL de la page auditée</t>
        </is>
      </c>
      <c r="D3" s="2" t="inlineStr"/>
    </row>
    <row r="4" ht="26" customHeight="1">
      <c r="A4" s="18" t="inlineStr">
        <is>
          <t>Intitulé de la page</t>
        </is>
      </c>
      <c r="D4" s="2" t="inlineStr">
        <is>
          <t>Page type : article, actualité ou contenu rédactionnel</t>
        </is>
      </c>
    </row>
    <row r="5" ht="26" customHeight="1">
      <c r="A5" s="18" t="inlineStr">
        <is>
          <t>Navigateur et version</t>
        </is>
      </c>
      <c r="D5" s="2" t="inlineStr"/>
    </row>
    <row r="6" ht="26" customHeight="1">
      <c r="A6" s="18" t="inlineStr">
        <is>
          <t>Outils utilisés</t>
        </is>
      </c>
      <c r="D6" s="2" t="inlineStr"/>
    </row>
    <row r="8" ht="38" customHeight="1">
      <c r="A8" s="8" t="inlineStr">
        <is>
          <t>N</t>
        </is>
      </c>
      <c r="B8" s="8" t="inlineStr">
        <is>
          <t>Easy Check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9" t="n">
        <v>1</v>
      </c>
      <c r="B9" s="9" t="inlineStr">
        <is>
          <t>Alternatives textuelles des images</t>
        </is>
      </c>
      <c r="C9" s="9" t="inlineStr">
        <is>
          <t>1.1.1</t>
        </is>
      </c>
      <c r="D9" s="9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9" t="n">
        <v>2</v>
      </c>
      <c r="B10" s="9" t="inlineStr">
        <is>
          <t>Titre de page</t>
        </is>
      </c>
      <c r="C10" s="9" t="inlineStr">
        <is>
          <t>2.4.2</t>
        </is>
      </c>
      <c r="D10" s="9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9" t="n">
        <v>3</v>
      </c>
      <c r="B11" s="9" t="inlineStr">
        <is>
          <t>Titres et hiérarchie</t>
        </is>
      </c>
      <c r="C11" s="9" t="inlineStr">
        <is>
          <t>1.3.1, 2.4.6</t>
        </is>
      </c>
      <c r="D11" s="9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9" t="n">
        <v>4</v>
      </c>
      <c r="B12" s="9" t="inlineStr">
        <is>
          <t>Contraste des couleurs</t>
        </is>
      </c>
      <c r="C12" s="9" t="inlineStr">
        <is>
          <t>1.4.3, 1.4.11</t>
        </is>
      </c>
      <c r="D12" s="9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9" t="n">
        <v>5</v>
      </c>
      <c r="B13" s="9" t="inlineStr">
        <is>
          <t>Lien d'évitement</t>
        </is>
      </c>
      <c r="C13" s="9" t="inlineStr">
        <is>
          <t>2.4.1</t>
        </is>
      </c>
      <c r="D13" s="9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9" t="n">
        <v>6</v>
      </c>
      <c r="B14" s="9" t="inlineStr">
        <is>
          <t>Focus et navigation clavier</t>
        </is>
      </c>
      <c r="C14" s="9" t="inlineStr">
        <is>
          <t>2.4.7, 2.1.1, 2.1.2, 2.4.3</t>
        </is>
      </c>
      <c r="D14" s="9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9" t="n">
        <v>7</v>
      </c>
      <c r="B15" s="9" t="inlineStr">
        <is>
          <t>Langue de la page</t>
        </is>
      </c>
      <c r="C15" s="9" t="inlineStr">
        <is>
          <t>3.1.1, 3.1.2</t>
        </is>
      </c>
      <c r="D15" s="9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9" t="n">
        <v>8</v>
      </c>
      <c r="B16" s="9" t="inlineStr">
        <is>
          <t>Zoom à 200 %</t>
        </is>
      </c>
      <c r="C16" s="9" t="inlineStr">
        <is>
          <t>1.4.4, 1.4.10</t>
        </is>
      </c>
      <c r="D16" s="9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9" t="n">
        <v>9</v>
      </c>
      <c r="B17" s="9" t="inlineStr">
        <is>
          <t>Sous-titres vidéo</t>
        </is>
      </c>
      <c r="C17" s="9" t="inlineStr">
        <is>
          <t>1.2.2</t>
        </is>
      </c>
      <c r="D17" s="9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9" t="n">
        <v>10</v>
      </c>
      <c r="B18" s="9" t="inlineStr">
        <is>
          <t>Transcriptions audio et vidéo</t>
        </is>
      </c>
      <c r="C18" s="9" t="inlineStr">
        <is>
          <t>1.2.1</t>
        </is>
      </c>
      <c r="D18" s="9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9" t="n">
        <v>11</v>
      </c>
      <c r="B19" s="9" t="inlineStr">
        <is>
          <t>Audiodescription</t>
        </is>
      </c>
      <c r="C19" s="9" t="inlineStr">
        <is>
          <t>1.2.3, 1.2.5</t>
        </is>
      </c>
      <c r="D19" s="9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9" t="n">
        <v>12</v>
      </c>
      <c r="B20" s="9" t="inlineStr">
        <is>
          <t>Étiquettes de formulaire</t>
        </is>
      </c>
      <c r="C20" s="9" t="inlineStr">
        <is>
          <t>3.3.2, 1.3.1, 2.5.3</t>
        </is>
      </c>
      <c r="D20" s="9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9" t="n">
        <v>13</v>
      </c>
      <c r="B21" s="9" t="inlineStr">
        <is>
          <t>Champs obligatoires et erreurs</t>
        </is>
      </c>
      <c r="C21" s="9" t="inlineStr">
        <is>
          <t>3.3.2, 3.3.1, 3.3.3</t>
        </is>
      </c>
      <c r="D21" s="9" t="inlineStr">
        <is>
          <t>11.10, 11.11</t>
        </is>
      </c>
      <c r="E21" s="10" t="inlineStr">
        <is>
          <t>Soumettre un formulaire incomplet. Écouter l'annonce par le lecteur d'écran.</t>
        </is>
      </c>
      <c r="F21" s="10" t="inlineStr">
        <is>
          <t>Obligatoires indiqués textuellement et par astérisque. Légende « * champ obligatoire » présente. Messages d'erreur qui identifient le champ par son libellé.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4" t="inlineStr">
        <is>
          <t>Synthèse de la page</t>
        </is>
      </c>
    </row>
    <row r="25" ht="26" customHeight="1">
      <c r="A25" s="7" t="inlineStr">
        <is>
          <t>Conforme (C)</t>
        </is>
      </c>
      <c r="F25" s="20">
        <f>COUNTIF(G9:G21,"C")</f>
        <v/>
      </c>
    </row>
    <row r="26" ht="26" customHeight="1">
      <c r="A26" s="7" t="inlineStr">
        <is>
          <t>Non conforme (NC)</t>
        </is>
      </c>
      <c r="F26" s="20">
        <f>COUNTIF(G9:G21,"NC")</f>
        <v/>
      </c>
    </row>
    <row r="27" ht="26" customHeight="1">
      <c r="A27" s="7" t="inlineStr">
        <is>
          <t>Non applicable (NA)</t>
        </is>
      </c>
      <c r="F27" s="20">
        <f>COUNTIF(G9:G21,"NA")</f>
        <v/>
      </c>
    </row>
    <row r="28" ht="26" customHeight="1">
      <c r="A28" s="7" t="inlineStr">
        <is>
          <t>Taux de conformité Easy Checks</t>
        </is>
      </c>
      <c r="F28" s="21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0">
        <f>COUNTIFS(G9:G21,"NC",H9:H21,"Bloquant")</f>
        <v/>
      </c>
    </row>
    <row r="30" ht="26" customHeight="1">
      <c r="A30" s="7" t="inlineStr">
        <is>
          <t>Non-conformités gênantes</t>
        </is>
      </c>
      <c r="F30" s="20">
        <f>COUNTIFS(G9:G21,"NC",H9:H21,"Gênant")</f>
        <v/>
      </c>
    </row>
    <row r="31" ht="26" customHeight="1">
      <c r="A31" s="7" t="inlineStr">
        <is>
          <t>Non-conformités mineures</t>
        </is>
      </c>
      <c r="F31" s="20">
        <f>COUNTIFS(G9:G21,"NC",H9:H21,"Mineur")</f>
        <v/>
      </c>
    </row>
    <row r="33" ht="30" customHeight="1">
      <c r="A33" s="14" t="inlineStr">
        <is>
          <t>Top 3 des actions prioritaires</t>
        </is>
      </c>
    </row>
    <row r="34" ht="32" customHeight="1">
      <c r="A34" s="22" t="inlineStr">
        <is>
          <t>1.</t>
        </is>
      </c>
      <c r="B34" s="10" t="inlineStr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4" t="n"/>
    </row>
    <row r="35" ht="32" customHeight="1">
      <c r="A35" s="22" t="inlineStr">
        <is>
          <t>2.</t>
        </is>
      </c>
      <c r="B35" s="10" t="inlineStr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4" t="n"/>
    </row>
    <row r="36" ht="32" customHeight="1">
      <c r="A36" s="22" t="inlineStr">
        <is>
          <t>3.</t>
        </is>
      </c>
      <c r="B36" s="10" t="inlineStr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4" t="n"/>
    </row>
    <row r="38" ht="30" customHeight="1">
      <c r="A38" s="14" t="inlineStr">
        <is>
          <t>Mon engagement pour demain 9 h</t>
        </is>
      </c>
    </row>
    <row r="39" ht="40" customHeight="1">
      <c r="A39" s="10" t="inlineStr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4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18" t="inlineStr">
        <is>
          <t>Auditeur / auditrice</t>
        </is>
      </c>
      <c r="D1" s="2" t="inlineStr"/>
    </row>
    <row r="2" ht="26" customHeight="1">
      <c r="A2" s="18" t="inlineStr">
        <is>
          <t>Date de l'audit</t>
        </is>
      </c>
      <c r="D2" s="2" t="inlineStr"/>
    </row>
    <row r="3" ht="26" customHeight="1">
      <c r="A3" s="18" t="inlineStr">
        <is>
          <t>URL de la page auditée</t>
        </is>
      </c>
      <c r="D3" s="2" t="inlineStr"/>
    </row>
    <row r="4" ht="26" customHeight="1">
      <c r="A4" s="18" t="inlineStr">
        <is>
          <t>Intitulé de la page</t>
        </is>
      </c>
      <c r="D4" s="2" t="inlineStr">
        <is>
          <t>Page type : formulaire de démarche ou saisie multi-étape</t>
        </is>
      </c>
    </row>
    <row r="5" ht="26" customHeight="1">
      <c r="A5" s="18" t="inlineStr">
        <is>
          <t>Navigateur et version</t>
        </is>
      </c>
      <c r="D5" s="2" t="inlineStr"/>
    </row>
    <row r="6" ht="26" customHeight="1">
      <c r="A6" s="18" t="inlineStr">
        <is>
          <t>Outils utilisés</t>
        </is>
      </c>
      <c r="D6" s="2" t="inlineStr"/>
    </row>
    <row r="8" ht="38" customHeight="1">
      <c r="A8" s="8" t="inlineStr">
        <is>
          <t>N</t>
        </is>
      </c>
      <c r="B8" s="8" t="inlineStr">
        <is>
          <t>Easy Check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9" t="n">
        <v>1</v>
      </c>
      <c r="B9" s="9" t="inlineStr">
        <is>
          <t>Alternatives textuelles des images</t>
        </is>
      </c>
      <c r="C9" s="9" t="inlineStr">
        <is>
          <t>1.1.1</t>
        </is>
      </c>
      <c r="D9" s="9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9" t="n">
        <v>2</v>
      </c>
      <c r="B10" s="9" t="inlineStr">
        <is>
          <t>Titre de page</t>
        </is>
      </c>
      <c r="C10" s="9" t="inlineStr">
        <is>
          <t>2.4.2</t>
        </is>
      </c>
      <c r="D10" s="9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9" t="n">
        <v>3</v>
      </c>
      <c r="B11" s="9" t="inlineStr">
        <is>
          <t>Titres et hiérarchie</t>
        </is>
      </c>
      <c r="C11" s="9" t="inlineStr">
        <is>
          <t>1.3.1, 2.4.6</t>
        </is>
      </c>
      <c r="D11" s="9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9" t="n">
        <v>4</v>
      </c>
      <c r="B12" s="9" t="inlineStr">
        <is>
          <t>Contraste des couleurs</t>
        </is>
      </c>
      <c r="C12" s="9" t="inlineStr">
        <is>
          <t>1.4.3, 1.4.11</t>
        </is>
      </c>
      <c r="D12" s="9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9" t="n">
        <v>5</v>
      </c>
      <c r="B13" s="9" t="inlineStr">
        <is>
          <t>Lien d'évitement</t>
        </is>
      </c>
      <c r="C13" s="9" t="inlineStr">
        <is>
          <t>2.4.1</t>
        </is>
      </c>
      <c r="D13" s="9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9" t="n">
        <v>6</v>
      </c>
      <c r="B14" s="9" t="inlineStr">
        <is>
          <t>Focus et navigation clavier</t>
        </is>
      </c>
      <c r="C14" s="9" t="inlineStr">
        <is>
          <t>2.4.7, 2.1.1, 2.1.2, 2.4.3</t>
        </is>
      </c>
      <c r="D14" s="9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9" t="n">
        <v>7</v>
      </c>
      <c r="B15" s="9" t="inlineStr">
        <is>
          <t>Langue de la page</t>
        </is>
      </c>
      <c r="C15" s="9" t="inlineStr">
        <is>
          <t>3.1.1, 3.1.2</t>
        </is>
      </c>
      <c r="D15" s="9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9" t="n">
        <v>8</v>
      </c>
      <c r="B16" s="9" t="inlineStr">
        <is>
          <t>Zoom à 200 %</t>
        </is>
      </c>
      <c r="C16" s="9" t="inlineStr">
        <is>
          <t>1.4.4, 1.4.10</t>
        </is>
      </c>
      <c r="D16" s="9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9" t="n">
        <v>9</v>
      </c>
      <c r="B17" s="9" t="inlineStr">
        <is>
          <t>Sous-titres vidéo</t>
        </is>
      </c>
      <c r="C17" s="9" t="inlineStr">
        <is>
          <t>1.2.2</t>
        </is>
      </c>
      <c r="D17" s="9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9" t="n">
        <v>10</v>
      </c>
      <c r="B18" s="9" t="inlineStr">
        <is>
          <t>Transcriptions audio et vidéo</t>
        </is>
      </c>
      <c r="C18" s="9" t="inlineStr">
        <is>
          <t>1.2.1</t>
        </is>
      </c>
      <c r="D18" s="9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9" t="n">
        <v>11</v>
      </c>
      <c r="B19" s="9" t="inlineStr">
        <is>
          <t>Audiodescription</t>
        </is>
      </c>
      <c r="C19" s="9" t="inlineStr">
        <is>
          <t>1.2.3, 1.2.5</t>
        </is>
      </c>
      <c r="D19" s="9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9" t="n">
        <v>12</v>
      </c>
      <c r="B20" s="9" t="inlineStr">
        <is>
          <t>Étiquettes de formulaire</t>
        </is>
      </c>
      <c r="C20" s="9" t="inlineStr">
        <is>
          <t>3.3.2, 1.3.1, 2.5.3</t>
        </is>
      </c>
      <c r="D20" s="9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9" t="n">
        <v>13</v>
      </c>
      <c r="B21" s="9" t="inlineStr">
        <is>
          <t>Champs obligatoires et erreurs</t>
        </is>
      </c>
      <c r="C21" s="9" t="inlineStr">
        <is>
          <t>3.3.2, 3.3.1, 3.3.3</t>
        </is>
      </c>
      <c r="D21" s="9" t="inlineStr">
        <is>
          <t>11.10, 11.11</t>
        </is>
      </c>
      <c r="E21" s="10" t="inlineStr">
        <is>
          <t>Soumettre un formulaire incomplet. Écouter l'annonce par le lecteur d'écran.</t>
        </is>
      </c>
      <c r="F21" s="10" t="inlineStr">
        <is>
          <t>Obligatoires indiqués textuellement et par astérisque. Légende « * champ obligatoire » présente. Messages d'erreur qui identifient le champ par son libellé.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4" t="inlineStr">
        <is>
          <t>Synthèse de la page</t>
        </is>
      </c>
    </row>
    <row r="25" ht="26" customHeight="1">
      <c r="A25" s="7" t="inlineStr">
        <is>
          <t>Conforme (C)</t>
        </is>
      </c>
      <c r="F25" s="20">
        <f>COUNTIF(G9:G21,"C")</f>
        <v/>
      </c>
    </row>
    <row r="26" ht="26" customHeight="1">
      <c r="A26" s="7" t="inlineStr">
        <is>
          <t>Non conforme (NC)</t>
        </is>
      </c>
      <c r="F26" s="20">
        <f>COUNTIF(G9:G21,"NC")</f>
        <v/>
      </c>
    </row>
    <row r="27" ht="26" customHeight="1">
      <c r="A27" s="7" t="inlineStr">
        <is>
          <t>Non applicable (NA)</t>
        </is>
      </c>
      <c r="F27" s="20">
        <f>COUNTIF(G9:G21,"NA")</f>
        <v/>
      </c>
    </row>
    <row r="28" ht="26" customHeight="1">
      <c r="A28" s="7" t="inlineStr">
        <is>
          <t>Taux de conformité Easy Checks</t>
        </is>
      </c>
      <c r="F28" s="21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0">
        <f>COUNTIFS(G9:G21,"NC",H9:H21,"Bloquant")</f>
        <v/>
      </c>
    </row>
    <row r="30" ht="26" customHeight="1">
      <c r="A30" s="7" t="inlineStr">
        <is>
          <t>Non-conformités gênantes</t>
        </is>
      </c>
      <c r="F30" s="20">
        <f>COUNTIFS(G9:G21,"NC",H9:H21,"Gênant")</f>
        <v/>
      </c>
    </row>
    <row r="31" ht="26" customHeight="1">
      <c r="A31" s="7" t="inlineStr">
        <is>
          <t>Non-conformités mineures</t>
        </is>
      </c>
      <c r="F31" s="20">
        <f>COUNTIFS(G9:G21,"NC",H9:H21,"Mineur")</f>
        <v/>
      </c>
    </row>
    <row r="33" ht="30" customHeight="1">
      <c r="A33" s="14" t="inlineStr">
        <is>
          <t>Top 3 des actions prioritaires</t>
        </is>
      </c>
    </row>
    <row r="34" ht="32" customHeight="1">
      <c r="A34" s="22" t="inlineStr">
        <is>
          <t>1.</t>
        </is>
      </c>
      <c r="B34" s="10" t="inlineStr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4" t="n"/>
    </row>
    <row r="35" ht="32" customHeight="1">
      <c r="A35" s="22" t="inlineStr">
        <is>
          <t>2.</t>
        </is>
      </c>
      <c r="B35" s="10" t="inlineStr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4" t="n"/>
    </row>
    <row r="36" ht="32" customHeight="1">
      <c r="A36" s="22" t="inlineStr">
        <is>
          <t>3.</t>
        </is>
      </c>
      <c r="B36" s="10" t="inlineStr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4" t="n"/>
    </row>
    <row r="38" ht="30" customHeight="1">
      <c r="A38" s="14" t="inlineStr">
        <is>
          <t>Mon engagement pour demain 9 h</t>
        </is>
      </c>
    </row>
    <row r="39" ht="40" customHeight="1">
      <c r="A39" s="10" t="inlineStr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4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18" t="inlineStr">
        <is>
          <t>Auditeur / auditrice</t>
        </is>
      </c>
      <c r="D1" s="2" t="inlineStr"/>
    </row>
    <row r="2" ht="26" customHeight="1">
      <c r="A2" s="18" t="inlineStr">
        <is>
          <t>Date de l'audit</t>
        </is>
      </c>
      <c r="D2" s="2" t="inlineStr"/>
    </row>
    <row r="3" ht="26" customHeight="1">
      <c r="A3" s="18" t="inlineStr">
        <is>
          <t>URL de la page auditée</t>
        </is>
      </c>
      <c r="D3" s="2" t="inlineStr"/>
    </row>
    <row r="4" ht="26" customHeight="1">
      <c r="A4" s="18" t="inlineStr">
        <is>
          <t>Intitulé de la page</t>
        </is>
      </c>
      <c r="D4" s="2" t="inlineStr">
        <is>
          <t>Page type : liste / rubrique / résultats de navigation</t>
        </is>
      </c>
    </row>
    <row r="5" ht="26" customHeight="1">
      <c r="A5" s="18" t="inlineStr">
        <is>
          <t>Navigateur et version</t>
        </is>
      </c>
      <c r="D5" s="2" t="inlineStr"/>
    </row>
    <row r="6" ht="26" customHeight="1">
      <c r="A6" s="18" t="inlineStr">
        <is>
          <t>Outils utilisés</t>
        </is>
      </c>
      <c r="D6" s="2" t="inlineStr"/>
    </row>
    <row r="8" ht="38" customHeight="1">
      <c r="A8" s="8" t="inlineStr">
        <is>
          <t>N</t>
        </is>
      </c>
      <c r="B8" s="8" t="inlineStr">
        <is>
          <t>Easy Check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9" t="n">
        <v>1</v>
      </c>
      <c r="B9" s="9" t="inlineStr">
        <is>
          <t>Alternatives textuelles des images</t>
        </is>
      </c>
      <c r="C9" s="9" t="inlineStr">
        <is>
          <t>1.1.1</t>
        </is>
      </c>
      <c r="D9" s="9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9" t="n">
        <v>2</v>
      </c>
      <c r="B10" s="9" t="inlineStr">
        <is>
          <t>Titre de page</t>
        </is>
      </c>
      <c r="C10" s="9" t="inlineStr">
        <is>
          <t>2.4.2</t>
        </is>
      </c>
      <c r="D10" s="9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9" t="n">
        <v>3</v>
      </c>
      <c r="B11" s="9" t="inlineStr">
        <is>
          <t>Titres et hiérarchie</t>
        </is>
      </c>
      <c r="C11" s="9" t="inlineStr">
        <is>
          <t>1.3.1, 2.4.6</t>
        </is>
      </c>
      <c r="D11" s="9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9" t="n">
        <v>4</v>
      </c>
      <c r="B12" s="9" t="inlineStr">
        <is>
          <t>Contraste des couleurs</t>
        </is>
      </c>
      <c r="C12" s="9" t="inlineStr">
        <is>
          <t>1.4.3, 1.4.11</t>
        </is>
      </c>
      <c r="D12" s="9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9" t="n">
        <v>5</v>
      </c>
      <c r="B13" s="9" t="inlineStr">
        <is>
          <t>Lien d'évitement</t>
        </is>
      </c>
      <c r="C13" s="9" t="inlineStr">
        <is>
          <t>2.4.1</t>
        </is>
      </c>
      <c r="D13" s="9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9" t="n">
        <v>6</v>
      </c>
      <c r="B14" s="9" t="inlineStr">
        <is>
          <t>Focus et navigation clavier</t>
        </is>
      </c>
      <c r="C14" s="9" t="inlineStr">
        <is>
          <t>2.4.7, 2.1.1, 2.1.2, 2.4.3</t>
        </is>
      </c>
      <c r="D14" s="9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9" t="n">
        <v>7</v>
      </c>
      <c r="B15" s="9" t="inlineStr">
        <is>
          <t>Langue de la page</t>
        </is>
      </c>
      <c r="C15" s="9" t="inlineStr">
        <is>
          <t>3.1.1, 3.1.2</t>
        </is>
      </c>
      <c r="D15" s="9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9" t="n">
        <v>8</v>
      </c>
      <c r="B16" s="9" t="inlineStr">
        <is>
          <t>Zoom à 200 %</t>
        </is>
      </c>
      <c r="C16" s="9" t="inlineStr">
        <is>
          <t>1.4.4, 1.4.10</t>
        </is>
      </c>
      <c r="D16" s="9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9" t="n">
        <v>9</v>
      </c>
      <c r="B17" s="9" t="inlineStr">
        <is>
          <t>Sous-titres vidéo</t>
        </is>
      </c>
      <c r="C17" s="9" t="inlineStr">
        <is>
          <t>1.2.2</t>
        </is>
      </c>
      <c r="D17" s="9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9" t="n">
        <v>10</v>
      </c>
      <c r="B18" s="9" t="inlineStr">
        <is>
          <t>Transcriptions audio et vidéo</t>
        </is>
      </c>
      <c r="C18" s="9" t="inlineStr">
        <is>
          <t>1.2.1</t>
        </is>
      </c>
      <c r="D18" s="9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9" t="n">
        <v>11</v>
      </c>
      <c r="B19" s="9" t="inlineStr">
        <is>
          <t>Audiodescription</t>
        </is>
      </c>
      <c r="C19" s="9" t="inlineStr">
        <is>
          <t>1.2.3, 1.2.5</t>
        </is>
      </c>
      <c r="D19" s="9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9" t="n">
        <v>12</v>
      </c>
      <c r="B20" s="9" t="inlineStr">
        <is>
          <t>Étiquettes de formulaire</t>
        </is>
      </c>
      <c r="C20" s="9" t="inlineStr">
        <is>
          <t>3.3.2, 1.3.1, 2.5.3</t>
        </is>
      </c>
      <c r="D20" s="9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9" t="n">
        <v>13</v>
      </c>
      <c r="B21" s="9" t="inlineStr">
        <is>
          <t>Champs obligatoires et erreurs</t>
        </is>
      </c>
      <c r="C21" s="9" t="inlineStr">
        <is>
          <t>3.3.2, 3.3.1, 3.3.3</t>
        </is>
      </c>
      <c r="D21" s="9" t="inlineStr">
        <is>
          <t>11.10, 11.11</t>
        </is>
      </c>
      <c r="E21" s="10" t="inlineStr">
        <is>
          <t>Soumettre un formulaire incomplet. Écouter l'annonce par le lecteur d'écran.</t>
        </is>
      </c>
      <c r="F21" s="10" t="inlineStr">
        <is>
          <t>Obligatoires indiqués textuellement et par astérisque. Légende « * champ obligatoire » présente. Messages d'erreur qui identifient le champ par son libellé.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4" t="inlineStr">
        <is>
          <t>Synthèse de la page</t>
        </is>
      </c>
    </row>
    <row r="25" ht="26" customHeight="1">
      <c r="A25" s="7" t="inlineStr">
        <is>
          <t>Conforme (C)</t>
        </is>
      </c>
      <c r="F25" s="20">
        <f>COUNTIF(G9:G21,"C")</f>
        <v/>
      </c>
    </row>
    <row r="26" ht="26" customHeight="1">
      <c r="A26" s="7" t="inlineStr">
        <is>
          <t>Non conforme (NC)</t>
        </is>
      </c>
      <c r="F26" s="20">
        <f>COUNTIF(G9:G21,"NC")</f>
        <v/>
      </c>
    </row>
    <row r="27" ht="26" customHeight="1">
      <c r="A27" s="7" t="inlineStr">
        <is>
          <t>Non applicable (NA)</t>
        </is>
      </c>
      <c r="F27" s="20">
        <f>COUNTIF(G9:G21,"NA")</f>
        <v/>
      </c>
    </row>
    <row r="28" ht="26" customHeight="1">
      <c r="A28" s="7" t="inlineStr">
        <is>
          <t>Taux de conformité Easy Checks</t>
        </is>
      </c>
      <c r="F28" s="21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0">
        <f>COUNTIFS(G9:G21,"NC",H9:H21,"Bloquant")</f>
        <v/>
      </c>
    </row>
    <row r="30" ht="26" customHeight="1">
      <c r="A30" s="7" t="inlineStr">
        <is>
          <t>Non-conformités gênantes</t>
        </is>
      </c>
      <c r="F30" s="20">
        <f>COUNTIFS(G9:G21,"NC",H9:H21,"Gênant")</f>
        <v/>
      </c>
    </row>
    <row r="31" ht="26" customHeight="1">
      <c r="A31" s="7" t="inlineStr">
        <is>
          <t>Non-conformités mineures</t>
        </is>
      </c>
      <c r="F31" s="20">
        <f>COUNTIFS(G9:G21,"NC",H9:H21,"Mineur")</f>
        <v/>
      </c>
    </row>
    <row r="33" ht="30" customHeight="1">
      <c r="A33" s="14" t="inlineStr">
        <is>
          <t>Top 3 des actions prioritaires</t>
        </is>
      </c>
    </row>
    <row r="34" ht="32" customHeight="1">
      <c r="A34" s="22" t="inlineStr">
        <is>
          <t>1.</t>
        </is>
      </c>
      <c r="B34" s="10" t="inlineStr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4" t="n"/>
    </row>
    <row r="35" ht="32" customHeight="1">
      <c r="A35" s="22" t="inlineStr">
        <is>
          <t>2.</t>
        </is>
      </c>
      <c r="B35" s="10" t="inlineStr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4" t="n"/>
    </row>
    <row r="36" ht="32" customHeight="1">
      <c r="A36" s="22" t="inlineStr">
        <is>
          <t>3.</t>
        </is>
      </c>
      <c r="B36" s="10" t="inlineStr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4" t="n"/>
    </row>
    <row r="38" ht="30" customHeight="1">
      <c r="A38" s="14" t="inlineStr">
        <is>
          <t>Mon engagement pour demain 9 h</t>
        </is>
      </c>
    </row>
    <row r="39" ht="40" customHeight="1">
      <c r="A39" s="10" t="inlineStr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4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18" t="inlineStr">
        <is>
          <t>Auditeur / auditrice</t>
        </is>
      </c>
      <c r="D1" s="2" t="inlineStr">
        <is>
          <t>Dupont Jean</t>
        </is>
      </c>
    </row>
    <row r="2" ht="26" customHeight="1">
      <c r="A2" s="18" t="inlineStr">
        <is>
          <t>Date de l'audit</t>
        </is>
      </c>
      <c r="D2" s="2" t="inlineStr">
        <is>
          <t>4 juin 2026</t>
        </is>
      </c>
    </row>
    <row r="3" ht="26" customHeight="1">
      <c r="A3" s="18" t="inlineStr">
        <is>
          <t>URL de la page auditée</t>
        </is>
      </c>
      <c r="D3" s="2" t="inlineStr">
        <is>
          <t>https://exemple.gouv.fr/accueil</t>
        </is>
      </c>
    </row>
    <row r="4" ht="26" customHeight="1">
      <c r="A4" s="18" t="inlineStr">
        <is>
          <t>Intitulé de la page</t>
        </is>
      </c>
      <c r="D4" s="2" t="inlineStr">
        <is>
          <t>Page d'accueil ministère</t>
        </is>
      </c>
    </row>
    <row r="5" ht="26" customHeight="1">
      <c r="A5" s="18" t="inlineStr">
        <is>
          <t>Navigateur et version</t>
        </is>
      </c>
      <c r="D5" s="2" t="inlineStr">
        <is>
          <t>Firefox 122 sous Windows 11</t>
        </is>
      </c>
    </row>
    <row r="6" ht="26" customHeight="1">
      <c r="A6" s="18" t="inlineStr">
        <is>
          <t>Outils utilisés</t>
        </is>
      </c>
      <c r="D6" s="2" t="inlineStr">
        <is>
          <t>HeadingsMap, DevTools, NVDA</t>
        </is>
      </c>
    </row>
    <row r="8" ht="38" customHeight="1">
      <c r="A8" s="8" t="inlineStr">
        <is>
          <t>N</t>
        </is>
      </c>
      <c r="B8" s="8" t="inlineStr">
        <is>
          <t>Easy Check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9" t="n">
        <v>1</v>
      </c>
      <c r="B9" s="9" t="inlineStr">
        <is>
          <t>Alternatives textuelles des images</t>
        </is>
      </c>
      <c r="C9" s="9" t="inlineStr">
        <is>
          <t>1.1.1</t>
        </is>
      </c>
      <c r="D9" s="9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25" t="inlineStr">
        <is>
          <t>NC</t>
        </is>
      </c>
      <c r="H9" s="26" t="inlineStr">
        <is>
          <t>Gênant</t>
        </is>
      </c>
      <c r="I9" s="10" t="inlineStr">
        <is>
          <t>3 images porteuses d'information sans alt sur la page d'accueil.</t>
        </is>
      </c>
      <c r="J9" s="10" t="inlineStr">
        <is>
          <t>Ajouter un alt descriptif concis aux images 1, 4 et 7.</t>
        </is>
      </c>
      <c r="K9" s="10" t="inlineStr">
        <is>
          <t>accueil.html, sélecteurs img.bandeau</t>
        </is>
      </c>
    </row>
    <row r="10" ht="95" customHeight="1">
      <c r="A10" s="9" t="n">
        <v>2</v>
      </c>
      <c r="B10" s="9" t="inlineStr">
        <is>
          <t>Titre de page</t>
        </is>
      </c>
      <c r="C10" s="9" t="inlineStr">
        <is>
          <t>2.4.2</t>
        </is>
      </c>
      <c r="D10" s="9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27" t="inlineStr">
        <is>
          <t>C</t>
        </is>
      </c>
      <c r="H10" s="10" t="inlineStr"/>
      <c r="I10" s="10" t="inlineStr">
        <is>
          <t>Titre présent et unique.</t>
        </is>
      </c>
      <c r="J10" s="10" t="inlineStr"/>
      <c r="K10" s="10" t="inlineStr"/>
    </row>
    <row r="11" ht="95" customHeight="1">
      <c r="A11" s="9" t="n">
        <v>3</v>
      </c>
      <c r="B11" s="9" t="inlineStr">
        <is>
          <t>Titres et hiérarchie</t>
        </is>
      </c>
      <c r="C11" s="9" t="inlineStr">
        <is>
          <t>1.3.1, 2.4.6</t>
        </is>
      </c>
      <c r="D11" s="9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25" t="inlineStr">
        <is>
          <t>NC</t>
        </is>
      </c>
      <c r="H11" s="28" t="inlineStr">
        <is>
          <t>Mineur</t>
        </is>
      </c>
      <c r="I11" s="10" t="inlineStr">
        <is>
          <t>Saut de H2 vers H4 dans la section actualités.</t>
        </is>
      </c>
      <c r="J11" s="10" t="inlineStr">
        <is>
          <t>Réintroduire un H3 ou promouvoir le H4 en H3.</t>
        </is>
      </c>
      <c r="K11" s="10" t="inlineStr">
        <is>
          <t>accueil.html, section #actu</t>
        </is>
      </c>
    </row>
    <row r="12" ht="95" customHeight="1">
      <c r="A12" s="9" t="n">
        <v>4</v>
      </c>
      <c r="B12" s="9" t="inlineStr">
        <is>
          <t>Contraste des couleurs</t>
        </is>
      </c>
      <c r="C12" s="9" t="inlineStr">
        <is>
          <t>1.4.3, 1.4.11</t>
        </is>
      </c>
      <c r="D12" s="9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25" t="inlineStr">
        <is>
          <t>NC</t>
        </is>
      </c>
      <c r="H12" s="29" t="inlineStr">
        <is>
          <t>Bloquant</t>
        </is>
      </c>
      <c r="I12" s="10" t="inlineStr">
        <is>
          <t>Texte gris #999 sur fond blanc : ratio 2,85:1.</t>
        </is>
      </c>
      <c r="J12" s="10" t="inlineStr">
        <is>
          <t>Relever la couleur à #6C6C6C (ratio 4,5:1 minimum).</t>
        </is>
      </c>
      <c r="K12" s="10" t="inlineStr">
        <is>
          <t>Capture contraste.png</t>
        </is>
      </c>
    </row>
    <row r="13" ht="95" customHeight="1">
      <c r="A13" s="9" t="n">
        <v>5</v>
      </c>
      <c r="B13" s="9" t="inlineStr">
        <is>
          <t>Lien d'évitement</t>
        </is>
      </c>
      <c r="C13" s="9" t="inlineStr">
        <is>
          <t>2.4.1</t>
        </is>
      </c>
      <c r="D13" s="9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27" t="inlineStr">
        <is>
          <t>C</t>
        </is>
      </c>
      <c r="H13" s="10" t="inlineStr"/>
      <c r="I13" s="10" t="inlineStr">
        <is>
          <t>Lien « Aller au contenu » présent au 1er Tab.</t>
        </is>
      </c>
      <c r="J13" s="10" t="inlineStr"/>
      <c r="K13" s="10" t="inlineStr"/>
    </row>
    <row r="14" ht="95" customHeight="1">
      <c r="A14" s="9" t="n">
        <v>6</v>
      </c>
      <c r="B14" s="9" t="inlineStr">
        <is>
          <t>Focus et navigation clavier</t>
        </is>
      </c>
      <c r="C14" s="9" t="inlineStr">
        <is>
          <t>2.4.7, 2.1.1, 2.1.2, 2.4.3</t>
        </is>
      </c>
      <c r="D14" s="9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25" t="inlineStr">
        <is>
          <t>NC</t>
        </is>
      </c>
      <c r="H14" s="29" t="inlineStr">
        <is>
          <t>Bloquant</t>
        </is>
      </c>
      <c r="I14" s="10" t="inlineStr">
        <is>
          <t>Focus invisible sur les 4 boutons de la barre d'action.</t>
        </is>
      </c>
      <c r="J14" s="10" t="inlineStr">
        <is>
          <t>Ajouter un style :focus-visible avec outline 2 px.</t>
        </is>
      </c>
      <c r="K14" s="10" t="inlineStr">
        <is>
          <t>Vidéo demo.webm</t>
        </is>
      </c>
    </row>
    <row r="15" ht="95" customHeight="1">
      <c r="A15" s="9" t="n">
        <v>7</v>
      </c>
      <c r="B15" s="9" t="inlineStr">
        <is>
          <t>Langue de la page</t>
        </is>
      </c>
      <c r="C15" s="9" t="inlineStr">
        <is>
          <t>3.1.1, 3.1.2</t>
        </is>
      </c>
      <c r="D15" s="9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27" t="inlineStr">
        <is>
          <t>C</t>
        </is>
      </c>
      <c r="H15" s="10" t="inlineStr"/>
      <c r="I15" s="10" t="inlineStr">
        <is>
          <t>&lt;html lang="fr"&gt; présent.</t>
        </is>
      </c>
      <c r="J15" s="10" t="inlineStr"/>
      <c r="K15" s="10" t="inlineStr"/>
    </row>
    <row r="16" ht="95" customHeight="1">
      <c r="A16" s="9" t="n">
        <v>8</v>
      </c>
      <c r="B16" s="9" t="inlineStr">
        <is>
          <t>Zoom à 200 %</t>
        </is>
      </c>
      <c r="C16" s="9" t="inlineStr">
        <is>
          <t>1.4.4, 1.4.10</t>
        </is>
      </c>
      <c r="D16" s="9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25" t="inlineStr">
        <is>
          <t>NC</t>
        </is>
      </c>
      <c r="H16" s="26" t="inlineStr">
        <is>
          <t>Gênant</t>
        </is>
      </c>
      <c r="I16" s="10" t="inlineStr">
        <is>
          <t>Le menu déroulant devient inutilisable à 200 %.</t>
        </is>
      </c>
      <c r="J16" s="10" t="inlineStr">
        <is>
          <t>Refactoriser en menu accordéon.</t>
        </is>
      </c>
      <c r="K16" s="10" t="inlineStr">
        <is>
          <t>Capture zoom200.png</t>
        </is>
      </c>
    </row>
    <row r="17" ht="95" customHeight="1">
      <c r="A17" s="9" t="n">
        <v>9</v>
      </c>
      <c r="B17" s="9" t="inlineStr">
        <is>
          <t>Sous-titres vidéo</t>
        </is>
      </c>
      <c r="C17" s="9" t="inlineStr">
        <is>
          <t>1.2.2</t>
        </is>
      </c>
      <c r="D17" s="9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30" t="inlineStr">
        <is>
          <t>NA</t>
        </is>
      </c>
      <c r="H17" s="10" t="inlineStr"/>
      <c r="I17" s="10" t="inlineStr">
        <is>
          <t>Pas de vidéo sur la page.</t>
        </is>
      </c>
      <c r="J17" s="10" t="inlineStr"/>
      <c r="K17" s="10" t="inlineStr"/>
    </row>
    <row r="18" ht="95" customHeight="1">
      <c r="A18" s="9" t="n">
        <v>10</v>
      </c>
      <c r="B18" s="9" t="inlineStr">
        <is>
          <t>Transcriptions audio et vidéo</t>
        </is>
      </c>
      <c r="C18" s="9" t="inlineStr">
        <is>
          <t>1.2.1</t>
        </is>
      </c>
      <c r="D18" s="9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30" t="inlineStr">
        <is>
          <t>NA</t>
        </is>
      </c>
      <c r="H18" s="10" t="inlineStr"/>
      <c r="I18" s="10" t="inlineStr">
        <is>
          <t>Pas de média nécessitant une transcription.</t>
        </is>
      </c>
      <c r="J18" s="10" t="inlineStr"/>
      <c r="K18" s="10" t="inlineStr"/>
    </row>
    <row r="19" ht="95" customHeight="1">
      <c r="A19" s="9" t="n">
        <v>11</v>
      </c>
      <c r="B19" s="9" t="inlineStr">
        <is>
          <t>Audiodescription</t>
        </is>
      </c>
      <c r="C19" s="9" t="inlineStr">
        <is>
          <t>1.2.3, 1.2.5</t>
        </is>
      </c>
      <c r="D19" s="9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30" t="inlineStr">
        <is>
          <t>NA</t>
        </is>
      </c>
      <c r="H19" s="10" t="inlineStr"/>
      <c r="I19" s="10" t="inlineStr">
        <is>
          <t>Pas de vidéo informative.</t>
        </is>
      </c>
      <c r="J19" s="10" t="inlineStr"/>
      <c r="K19" s="10" t="inlineStr"/>
    </row>
    <row r="20" ht="95" customHeight="1">
      <c r="A20" s="9" t="n">
        <v>12</v>
      </c>
      <c r="B20" s="9" t="inlineStr">
        <is>
          <t>Étiquettes de formulaire</t>
        </is>
      </c>
      <c r="C20" s="9" t="inlineStr">
        <is>
          <t>3.3.2, 1.3.1, 2.5.3</t>
        </is>
      </c>
      <c r="D20" s="9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25" t="inlineStr">
        <is>
          <t>NC</t>
        </is>
      </c>
      <c r="H20" s="29" t="inlineStr">
        <is>
          <t>Bloquant</t>
        </is>
      </c>
      <c r="I20" s="10" t="inlineStr">
        <is>
          <t>Formulaire de contact : placeholder utilisé comme seule étiquette.</t>
        </is>
      </c>
      <c r="J20" s="10" t="inlineStr">
        <is>
          <t>Ajouter un &lt;label&gt; visible au-dessus de chaque champ.</t>
        </is>
      </c>
      <c r="K20" s="10" t="inlineStr">
        <is>
          <t>contact.html, form#contact</t>
        </is>
      </c>
    </row>
    <row r="21" ht="95" customHeight="1">
      <c r="A21" s="9" t="n">
        <v>13</v>
      </c>
      <c r="B21" s="9" t="inlineStr">
        <is>
          <t>Champs obligatoires et erreurs</t>
        </is>
      </c>
      <c r="C21" s="9" t="inlineStr">
        <is>
          <t>3.3.2, 3.3.1, 3.3.3</t>
        </is>
      </c>
      <c r="D21" s="9" t="inlineStr">
        <is>
          <t>11.10, 11.11</t>
        </is>
      </c>
      <c r="E21" s="10" t="inlineStr">
        <is>
          <t>Soumettre un formulaire incomplet. Écouter l'annonce par le lecteur d'écran.</t>
        </is>
      </c>
      <c r="F21" s="10" t="inlineStr">
        <is>
          <t>Obligatoires indiqués textuellement et par astérisque. Légende « * champ obligatoire » présente. Messages d'erreur qui identifient le champ par son libellé.</t>
        </is>
      </c>
      <c r="G21" s="25" t="inlineStr">
        <is>
          <t>NC</t>
        </is>
      </c>
      <c r="H21" s="28" t="inlineStr">
        <is>
          <t>Mineur</t>
        </is>
      </c>
      <c r="I21" s="10" t="inlineStr">
        <is>
          <t>Pas de légende « * champ obligatoire » en tête de formulaire.</t>
        </is>
      </c>
      <c r="J21" s="10" t="inlineStr">
        <is>
          <t>Ajouter la légende et un attribut aria-required sur les champs concernés.</t>
        </is>
      </c>
      <c r="K21" s="10" t="inlineStr">
        <is>
          <t>contact.html, form#contact</t>
        </is>
      </c>
    </row>
    <row r="24" ht="30" customHeight="1">
      <c r="A24" s="14" t="inlineStr">
        <is>
          <t>Synthèse de la page</t>
        </is>
      </c>
    </row>
    <row r="25" ht="26" customHeight="1">
      <c r="A25" s="7" t="inlineStr">
        <is>
          <t>Conforme (C)</t>
        </is>
      </c>
      <c r="F25" s="20">
        <f>COUNTIF(G9:G21,"C")</f>
        <v/>
      </c>
    </row>
    <row r="26" ht="26" customHeight="1">
      <c r="A26" s="7" t="inlineStr">
        <is>
          <t>Non conforme (NC)</t>
        </is>
      </c>
      <c r="F26" s="20">
        <f>COUNTIF(G9:G21,"NC")</f>
        <v/>
      </c>
    </row>
    <row r="27" ht="26" customHeight="1">
      <c r="A27" s="7" t="inlineStr">
        <is>
          <t>Non applicable (NA)</t>
        </is>
      </c>
      <c r="F27" s="20">
        <f>COUNTIF(G9:G21,"NA")</f>
        <v/>
      </c>
    </row>
    <row r="28" ht="26" customHeight="1">
      <c r="A28" s="7" t="inlineStr">
        <is>
          <t>Taux de conformité Easy Checks</t>
        </is>
      </c>
      <c r="F28" s="21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0">
        <f>COUNTIFS(G9:G21,"NC",H9:H21,"Bloquant")</f>
        <v/>
      </c>
    </row>
    <row r="30" ht="26" customHeight="1">
      <c r="A30" s="7" t="inlineStr">
        <is>
          <t>Non-conformités gênantes</t>
        </is>
      </c>
      <c r="F30" s="20">
        <f>COUNTIFS(G9:G21,"NC",H9:H21,"Gênant")</f>
        <v/>
      </c>
    </row>
    <row r="31" ht="26" customHeight="1">
      <c r="A31" s="7" t="inlineStr">
        <is>
          <t>Non-conformités mineures</t>
        </is>
      </c>
      <c r="F31" s="20">
        <f>COUNTIFS(G9:G21,"NC",H9:H21,"Mineur")</f>
        <v/>
      </c>
    </row>
    <row r="33" ht="30" customHeight="1">
      <c r="A33" s="14" t="inlineStr">
        <is>
          <t>Top 3 des actions prioritaires</t>
        </is>
      </c>
    </row>
    <row r="34" ht="32" customHeight="1">
      <c r="A34" s="22" t="inlineStr">
        <is>
          <t>1.</t>
        </is>
      </c>
      <c r="B34" s="10" t="inlineStr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4" t="n"/>
    </row>
    <row r="35" ht="32" customHeight="1">
      <c r="A35" s="22" t="inlineStr">
        <is>
          <t>2.</t>
        </is>
      </c>
      <c r="B35" s="10" t="inlineStr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4" t="n"/>
    </row>
    <row r="36" ht="32" customHeight="1">
      <c r="A36" s="22" t="inlineStr">
        <is>
          <t>3.</t>
        </is>
      </c>
      <c r="B36" s="10" t="inlineStr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4" t="n"/>
    </row>
    <row r="38" ht="30" customHeight="1">
      <c r="A38" s="14" t="inlineStr">
        <is>
          <t>Mon engagement pour demain 9 h</t>
        </is>
      </c>
    </row>
    <row r="39" ht="40" customHeight="1">
      <c r="A39" s="10" t="inlineStr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4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2" customWidth="1" min="3" max="3"/>
    <col width="16" customWidth="1" min="4" max="4"/>
    <col width="16" customWidth="1" min="5" max="5"/>
    <col width="16" customWidth="1" min="6" max="6"/>
    <col width="22" customWidth="1" min="7" max="7"/>
  </cols>
  <sheetData>
    <row r="1" ht="38" customHeight="1">
      <c r="A1" s="1" t="inlineStr">
        <is>
          <t>Synthèse multi-pages de l'échantillon RGAA</t>
        </is>
      </c>
    </row>
    <row r="3" ht="60" customHeight="1">
      <c r="A3" s="2" t="inlineStr">
        <is>
          <t>Les décomptes sont récupérés automatiquement depuis les 12 onglets de page. Les totaux et le taux global se recalculent à chaque saisie dans une grille. Les taux par ligne restent vides tant qu'aucun verdict n'a été saisi sur la page correspondante.</t>
        </is>
      </c>
    </row>
    <row r="5" ht="40" customHeight="1">
      <c r="A5" s="8" t="inlineStr">
        <is>
          <t>N</t>
        </is>
      </c>
      <c r="B5" s="8" t="inlineStr">
        <is>
          <t>Type de page</t>
        </is>
      </c>
      <c r="C5" s="8" t="inlineStr">
        <is>
          <t>Caractère</t>
        </is>
      </c>
      <c r="D5" s="8" t="inlineStr">
        <is>
          <t>Conforme</t>
        </is>
      </c>
      <c r="E5" s="8" t="inlineStr">
        <is>
          <t>Non conforme</t>
        </is>
      </c>
      <c r="F5" s="8" t="inlineStr">
        <is>
          <t>Non applicable</t>
        </is>
      </c>
      <c r="G5" s="8" t="inlineStr">
        <is>
          <t>Taux de conformité Easy Checks</t>
        </is>
      </c>
    </row>
    <row r="6" ht="44" customHeight="1">
      <c r="A6" s="9" t="n">
        <v>1</v>
      </c>
      <c r="B6" s="10" t="inlineStr">
        <is>
          <t>Page d'accueil</t>
        </is>
      </c>
      <c r="C6" s="11" t="inlineStr">
        <is>
          <t>Obligatoire</t>
        </is>
      </c>
      <c r="D6" s="9">
        <f>IFERROR('1. Accueil'!B25,0)</f>
        <v/>
      </c>
      <c r="E6" s="9">
        <f>IFERROR('1. Accueil'!B26,0)</f>
        <v/>
      </c>
      <c r="F6" s="9">
        <f>IFERROR('1. Accueil'!B27,0)</f>
        <v/>
      </c>
      <c r="G6" s="31">
        <f>IFERROR(D6/(D6+E6),0)</f>
        <v/>
      </c>
    </row>
    <row r="7" ht="44" customHeight="1">
      <c r="A7" s="9" t="n">
        <v>2</v>
      </c>
      <c r="B7" s="10" t="inlineStr">
        <is>
          <t>Page « Mentions légales »</t>
        </is>
      </c>
      <c r="C7" s="11" t="inlineStr">
        <is>
          <t>Obligatoire</t>
        </is>
      </c>
      <c r="D7" s="9">
        <f>IFERROR('2. Mentions légales'!B25,0)</f>
        <v/>
      </c>
      <c r="E7" s="9">
        <f>IFERROR('2. Mentions légales'!B26,0)</f>
        <v/>
      </c>
      <c r="F7" s="9">
        <f>IFERROR('2. Mentions légales'!B27,0)</f>
        <v/>
      </c>
      <c r="G7" s="31">
        <f>IFERROR(D7/(D7+E7),0)</f>
        <v/>
      </c>
    </row>
    <row r="8" ht="44" customHeight="1">
      <c r="A8" s="9" t="n">
        <v>3</v>
      </c>
      <c r="B8" s="10" t="inlineStr">
        <is>
          <t>Déclaration d'accessibilité</t>
        </is>
      </c>
      <c r="C8" s="11" t="inlineStr">
        <is>
          <t>Obligatoire</t>
        </is>
      </c>
      <c r="D8" s="9">
        <f>IFERROR('3. Déclaration a11y'!B25,0)</f>
        <v/>
      </c>
      <c r="E8" s="9">
        <f>IFERROR('3. Déclaration a11y'!B26,0)</f>
        <v/>
      </c>
      <c r="F8" s="9">
        <f>IFERROR('3. Déclaration a11y'!B27,0)</f>
        <v/>
      </c>
      <c r="G8" s="31">
        <f>IFERROR(D8/(D8+E8),0)</f>
        <v/>
      </c>
    </row>
    <row r="9" ht="44" customHeight="1">
      <c r="A9" s="9" t="n">
        <v>4</v>
      </c>
      <c r="B9" s="10" t="inlineStr">
        <is>
          <t>Page « Plan du site »</t>
        </is>
      </c>
      <c r="C9" s="11" t="inlineStr">
        <is>
          <t>Obligatoire</t>
        </is>
      </c>
      <c r="D9" s="9">
        <f>IFERROR('4. Plan du site'!B25,0)</f>
        <v/>
      </c>
      <c r="E9" s="9">
        <f>IFERROR('4. Plan du site'!B26,0)</f>
        <v/>
      </c>
      <c r="F9" s="9">
        <f>IFERROR('4. Plan du site'!B27,0)</f>
        <v/>
      </c>
      <c r="G9" s="31">
        <f>IFERROR(D9/(D9+E9),0)</f>
        <v/>
      </c>
    </row>
    <row r="10" ht="44" customHeight="1">
      <c r="A10" s="9" t="n">
        <v>5</v>
      </c>
      <c r="B10" s="10" t="inlineStr">
        <is>
          <t>Page « Contact »</t>
        </is>
      </c>
      <c r="C10" s="11" t="inlineStr">
        <is>
          <t>Obligatoire</t>
        </is>
      </c>
      <c r="D10" s="9">
        <f>IFERROR('5. Contact'!B25,0)</f>
        <v/>
      </c>
      <c r="E10" s="9">
        <f>IFERROR('5. Contact'!B26,0)</f>
        <v/>
      </c>
      <c r="F10" s="9">
        <f>IFERROR('5. Contact'!B27,0)</f>
        <v/>
      </c>
      <c r="G10" s="31">
        <f>IFERROR(D10/(D10+E10),0)</f>
        <v/>
      </c>
    </row>
    <row r="11" ht="44" customHeight="1">
      <c r="A11" s="9" t="n">
        <v>6</v>
      </c>
      <c r="B11" s="10" t="inlineStr">
        <is>
          <t>Page « Aide » / FAQ</t>
        </is>
      </c>
      <c r="C11" s="11" t="inlineStr">
        <is>
          <t>Obligatoire</t>
        </is>
      </c>
      <c r="D11" s="9">
        <f>IFERROR('6. Aide'!B25,0)</f>
        <v/>
      </c>
      <c r="E11" s="9">
        <f>IFERROR('6. Aide'!B26,0)</f>
        <v/>
      </c>
      <c r="F11" s="9">
        <f>IFERROR('6. Aide'!B27,0)</f>
        <v/>
      </c>
      <c r="G11" s="31">
        <f>IFERROR(D11/(D11+E11),0)</f>
        <v/>
      </c>
    </row>
    <row r="12" ht="44" customHeight="1">
      <c r="A12" s="9" t="n">
        <v>7</v>
      </c>
      <c r="B12" s="10" t="inlineStr">
        <is>
          <t>Page d'authentification / connexion</t>
        </is>
      </c>
      <c r="C12" s="12" t="inlineStr">
        <is>
          <t>Obligatoire si existante</t>
        </is>
      </c>
      <c r="D12" s="9">
        <f>IFERROR('7. Authentification'!B25,0)</f>
        <v/>
      </c>
      <c r="E12" s="9">
        <f>IFERROR('7. Authentification'!B26,0)</f>
        <v/>
      </c>
      <c r="F12" s="9">
        <f>IFERROR('7. Authentification'!B27,0)</f>
        <v/>
      </c>
      <c r="G12" s="31">
        <f>IFERROR(D12/(D12+E12),0)</f>
        <v/>
      </c>
    </row>
    <row r="13" ht="44" customHeight="1">
      <c r="A13" s="9" t="n">
        <v>8</v>
      </c>
      <c r="B13" s="10" t="inlineStr">
        <is>
          <t>Page de résultats de recherche</t>
        </is>
      </c>
      <c r="C13" s="12" t="inlineStr">
        <is>
          <t>Obligatoire si moteur</t>
        </is>
      </c>
      <c r="D13" s="9">
        <f>IFERROR('8. Recherche'!B25,0)</f>
        <v/>
      </c>
      <c r="E13" s="9">
        <f>IFERROR('8. Recherche'!B26,0)</f>
        <v/>
      </c>
      <c r="F13" s="9">
        <f>IFERROR('8. Recherche'!B27,0)</f>
        <v/>
      </c>
      <c r="G13" s="31">
        <f>IFERROR(D13/(D13+E13),0)</f>
        <v/>
      </c>
    </row>
    <row r="14" ht="44" customHeight="1">
      <c r="A14" s="9" t="n">
        <v>9</v>
      </c>
      <c r="B14" s="10" t="inlineStr">
        <is>
          <t>Document téléchargeable (PDF, DOCX, ODT)</t>
        </is>
      </c>
      <c r="C14" s="12" t="inlineStr">
        <is>
          <t>Obligatoire si présent</t>
        </is>
      </c>
      <c r="D14" s="9">
        <f>IFERROR('9. Document'!B25,0)</f>
        <v/>
      </c>
      <c r="E14" s="9">
        <f>IFERROR('9. Document'!B26,0)</f>
        <v/>
      </c>
      <c r="F14" s="9">
        <f>IFERROR('9. Document'!B27,0)</f>
        <v/>
      </c>
      <c r="G14" s="31">
        <f>IFERROR(D14/(D14+E14),0)</f>
        <v/>
      </c>
    </row>
    <row r="15" ht="44" customHeight="1">
      <c r="A15" s="9" t="n">
        <v>10</v>
      </c>
      <c r="B15" s="10" t="inlineStr">
        <is>
          <t>Page type : article, actualité ou contenu rédactionnel</t>
        </is>
      </c>
      <c r="C15" s="13" t="inlineStr">
        <is>
          <t>Représentative</t>
        </is>
      </c>
      <c r="D15" s="9">
        <f>IFERROR('10. Article'!B25,0)</f>
        <v/>
      </c>
      <c r="E15" s="9">
        <f>IFERROR('10. Article'!B26,0)</f>
        <v/>
      </c>
      <c r="F15" s="9">
        <f>IFERROR('10. Article'!B27,0)</f>
        <v/>
      </c>
      <c r="G15" s="31">
        <f>IFERROR(D15/(D15+E15),0)</f>
        <v/>
      </c>
    </row>
    <row r="16" ht="44" customHeight="1">
      <c r="A16" s="9" t="n">
        <v>11</v>
      </c>
      <c r="B16" s="10" t="inlineStr">
        <is>
          <t>Page type : formulaire de démarche ou saisie multi-étape</t>
        </is>
      </c>
      <c r="C16" s="13" t="inlineStr">
        <is>
          <t>Représentative</t>
        </is>
      </c>
      <c r="D16" s="9">
        <f>IFERROR('11. Formulaire'!B25,0)</f>
        <v/>
      </c>
      <c r="E16" s="9">
        <f>IFERROR('11. Formulaire'!B26,0)</f>
        <v/>
      </c>
      <c r="F16" s="9">
        <f>IFERROR('11. Formulaire'!B27,0)</f>
        <v/>
      </c>
      <c r="G16" s="31">
        <f>IFERROR(D16/(D16+E16),0)</f>
        <v/>
      </c>
    </row>
    <row r="17" ht="44" customHeight="1">
      <c r="A17" s="9" t="n">
        <v>12</v>
      </c>
      <c r="B17" s="10" t="inlineStr">
        <is>
          <t>Page type : liste / rubrique / résultats de navigation</t>
        </is>
      </c>
      <c r="C17" s="13" t="inlineStr">
        <is>
          <t>Représentative</t>
        </is>
      </c>
      <c r="D17" s="9">
        <f>IFERROR('12. Liste'!B25,0)</f>
        <v/>
      </c>
      <c r="E17" s="9">
        <f>IFERROR('12. Liste'!B26,0)</f>
        <v/>
      </c>
      <c r="F17" s="9">
        <f>IFERROR('12. Liste'!B27,0)</f>
        <v/>
      </c>
      <c r="G17" s="31">
        <f>IFERROR(D17/(D17+E17),0)</f>
        <v/>
      </c>
    </row>
    <row r="19" ht="32" customHeight="1">
      <c r="A19" s="22" t="inlineStr">
        <is>
          <t>Total</t>
        </is>
      </c>
      <c r="D19" s="32">
        <f>SUM(D6:D17)</f>
        <v/>
      </c>
      <c r="E19" s="32">
        <f>SUM(E6:E17)</f>
        <v/>
      </c>
      <c r="F19" s="32">
        <f>SUM(F6:F17)</f>
        <v/>
      </c>
      <c r="G19" s="33">
        <f>IFERROR(D19/(D19+E19),0)</f>
        <v/>
      </c>
    </row>
  </sheetData>
  <mergeCells count="3">
    <mergeCell ref="A3:G3"/>
    <mergeCell ref="A19:C19"/>
    <mergeCell ref="A1:G1"/>
  </mergeCells>
  <printOptions horizontalCentered="1"/>
  <pageMargins left="0.4" right="0.4" top="0.5" bottom="0.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IGPDE - Institut de la Gestion publique et du Développement économique</dc:creator>
  <dc:title xmlns:dc="http://purl.org/dc/elements/1.1/">IGPDE - Formation 102638 - Grille d'audit 13 Easy Checks</dc:title>
  <dc:subject xmlns:dc="http://purl.org/dc/elements/1.1/">Accessibilité numérique - 13 Easy Checks W3C alignés RGAA 4.1.2</dc:subject>
  <dc:language xmlns:dc="http://purl.org/dc/elements/1.1/">fr-FR</dc:language>
  <dcterms:created xmlns:dcterms="http://purl.org/dc/terms/" xmlns:xsi="http://www.w3.org/2001/XMLSchema-instance" xsi:type="dcterms:W3CDTF">2026-04-17T22:47:31Z</dcterms:created>
  <dcterms:modified xmlns:dcterms="http://purl.org/dc/terms/" xmlns:xsi="http://www.w3.org/2001/XMLSchema-instance" xsi:type="dcterms:W3CDTF">2026-05-04T16:48:17Z</dcterms:modified>
  <cp:keywords>IGPDE, 102638, accessibilité, RGAA, WCAG, Easy Checks, audit</cp:keywords>
</cp:coreProperties>
</file>