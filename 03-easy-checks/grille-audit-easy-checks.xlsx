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Exercice - 13 pages" sheetId="2" state="visible" r:id="rId2"/>
    <sheet xmlns:r="http://schemas.openxmlformats.org/officeDocument/2006/relationships" name="Échantillon RGAA" sheetId="3" state="visible" r:id="rId3"/>
    <sheet xmlns:r="http://schemas.openxmlformats.org/officeDocument/2006/relationships" name="1. Accueil" sheetId="4" state="visible" r:id="rId4"/>
    <sheet xmlns:r="http://schemas.openxmlformats.org/officeDocument/2006/relationships" name="2. Mentions légales" sheetId="5" state="visible" r:id="rId5"/>
    <sheet xmlns:r="http://schemas.openxmlformats.org/officeDocument/2006/relationships" name="3. Déclaration a11y" sheetId="6" state="visible" r:id="rId6"/>
    <sheet xmlns:r="http://schemas.openxmlformats.org/officeDocument/2006/relationships" name="4. Plan du site" sheetId="7" state="visible" r:id="rId7"/>
    <sheet xmlns:r="http://schemas.openxmlformats.org/officeDocument/2006/relationships" name="5. Contact" sheetId="8" state="visible" r:id="rId8"/>
    <sheet xmlns:r="http://schemas.openxmlformats.org/officeDocument/2006/relationships" name="6. Aide" sheetId="9" state="visible" r:id="rId9"/>
    <sheet xmlns:r="http://schemas.openxmlformats.org/officeDocument/2006/relationships" name="7. Authentification" sheetId="10" state="visible" r:id="rId10"/>
    <sheet xmlns:r="http://schemas.openxmlformats.org/officeDocument/2006/relationships" name="8. Recherche" sheetId="11" state="visible" r:id="rId11"/>
    <sheet xmlns:r="http://schemas.openxmlformats.org/officeDocument/2006/relationships" name="9. Document" sheetId="12" state="visible" r:id="rId12"/>
    <sheet xmlns:r="http://schemas.openxmlformats.org/officeDocument/2006/relationships" name="10. Article" sheetId="13" state="visible" r:id="rId13"/>
    <sheet xmlns:r="http://schemas.openxmlformats.org/officeDocument/2006/relationships" name="11. Formulaire" sheetId="14" state="visible" r:id="rId14"/>
    <sheet xmlns:r="http://schemas.openxmlformats.org/officeDocument/2006/relationships" name="12. Liste" sheetId="15" state="visible" r:id="rId15"/>
    <sheet xmlns:r="http://schemas.openxmlformats.org/officeDocument/2006/relationships" name="Exemple" sheetId="16" state="visible" r:id="rId16"/>
    <sheet xmlns:r="http://schemas.openxmlformats.org/officeDocument/2006/relationships" name="Synthès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10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color rgb="00000091"/>
      <sz val="14"/>
      <u val="single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127.0.0.1:8765/site-inaccessible/ec01-images.html" TargetMode="External" Id="rId1"/><Relationship Type="http://schemas.openxmlformats.org/officeDocument/2006/relationships/hyperlink" Target="http://127.0.0.1:8765/site-aide-correction/ec01-images.html" TargetMode="External" Id="rId2"/><Relationship Type="http://schemas.openxmlformats.org/officeDocument/2006/relationships/hyperlink" Target="http://127.0.0.1:8765/site-accessible/ec01-images.html" TargetMode="External" Id="rId3"/><Relationship Type="http://schemas.openxmlformats.org/officeDocument/2006/relationships/hyperlink" Target="http://127.0.0.1:8765/site-inaccessible/ec02-page-title.html" TargetMode="External" Id="rId4"/><Relationship Type="http://schemas.openxmlformats.org/officeDocument/2006/relationships/hyperlink" Target="http://127.0.0.1:8765/site-aide-correction/ec02-page-title.html" TargetMode="External" Id="rId5"/><Relationship Type="http://schemas.openxmlformats.org/officeDocument/2006/relationships/hyperlink" Target="http://127.0.0.1:8765/site-accessible/ec02-page-title.html" TargetMode="External" Id="rId6"/><Relationship Type="http://schemas.openxmlformats.org/officeDocument/2006/relationships/hyperlink" Target="http://127.0.0.1:8765/site-inaccessible/ec03-headings.html" TargetMode="External" Id="rId7"/><Relationship Type="http://schemas.openxmlformats.org/officeDocument/2006/relationships/hyperlink" Target="http://127.0.0.1:8765/site-aide-correction/ec03-headings.html" TargetMode="External" Id="rId8"/><Relationship Type="http://schemas.openxmlformats.org/officeDocument/2006/relationships/hyperlink" Target="http://127.0.0.1:8765/site-accessible/ec03-headings.html" TargetMode="External" Id="rId9"/><Relationship Type="http://schemas.openxmlformats.org/officeDocument/2006/relationships/hyperlink" Target="http://127.0.0.1:8765/site-inaccessible/ec04-contrast.html" TargetMode="External" Id="rId10"/><Relationship Type="http://schemas.openxmlformats.org/officeDocument/2006/relationships/hyperlink" Target="http://127.0.0.1:8765/site-aide-correction/ec04-contrast.html" TargetMode="External" Id="rId11"/><Relationship Type="http://schemas.openxmlformats.org/officeDocument/2006/relationships/hyperlink" Target="http://127.0.0.1:8765/site-accessible/ec04-contrast.html" TargetMode="External" Id="rId12"/><Relationship Type="http://schemas.openxmlformats.org/officeDocument/2006/relationships/hyperlink" Target="http://127.0.0.1:8765/site-inaccessible/ec05-skiplinks.html" TargetMode="External" Id="rId13"/><Relationship Type="http://schemas.openxmlformats.org/officeDocument/2006/relationships/hyperlink" Target="http://127.0.0.1:8765/site-aide-correction/ec05-skiplinks.html" TargetMode="External" Id="rId14"/><Relationship Type="http://schemas.openxmlformats.org/officeDocument/2006/relationships/hyperlink" Target="http://127.0.0.1:8765/site-accessible/ec05-skiplinks.html" TargetMode="External" Id="rId15"/><Relationship Type="http://schemas.openxmlformats.org/officeDocument/2006/relationships/hyperlink" Target="http://127.0.0.1:8765/site-inaccessible/ec06-keyboard-focus.html" TargetMode="External" Id="rId16"/><Relationship Type="http://schemas.openxmlformats.org/officeDocument/2006/relationships/hyperlink" Target="http://127.0.0.1:8765/site-aide-correction/ec06-keyboard-focus.html" TargetMode="External" Id="rId17"/><Relationship Type="http://schemas.openxmlformats.org/officeDocument/2006/relationships/hyperlink" Target="http://127.0.0.1:8765/site-accessible/ec06-keyboard-focus.html" TargetMode="External" Id="rId18"/><Relationship Type="http://schemas.openxmlformats.org/officeDocument/2006/relationships/hyperlink" Target="http://127.0.0.1:8765/site-inaccessible/ec07-language.html" TargetMode="External" Id="rId19"/><Relationship Type="http://schemas.openxmlformats.org/officeDocument/2006/relationships/hyperlink" Target="http://127.0.0.1:8765/site-aide-correction/ec07-language.html" TargetMode="External" Id="rId20"/><Relationship Type="http://schemas.openxmlformats.org/officeDocument/2006/relationships/hyperlink" Target="http://127.0.0.1:8765/site-accessible/ec07-language.html" TargetMode="External" Id="rId21"/><Relationship Type="http://schemas.openxmlformats.org/officeDocument/2006/relationships/hyperlink" Target="http://127.0.0.1:8765/site-inaccessible/ec08-zoom.html" TargetMode="External" Id="rId22"/><Relationship Type="http://schemas.openxmlformats.org/officeDocument/2006/relationships/hyperlink" Target="http://127.0.0.1:8765/site-aide-correction/ec08-zoom.html" TargetMode="External" Id="rId23"/><Relationship Type="http://schemas.openxmlformats.org/officeDocument/2006/relationships/hyperlink" Target="http://127.0.0.1:8765/site-accessible/ec08-zoom.html" TargetMode="External" Id="rId24"/><Relationship Type="http://schemas.openxmlformats.org/officeDocument/2006/relationships/hyperlink" Target="http://127.0.0.1:8765/site-inaccessible/ec09-captions.html" TargetMode="External" Id="rId25"/><Relationship Type="http://schemas.openxmlformats.org/officeDocument/2006/relationships/hyperlink" Target="http://127.0.0.1:8765/site-aide-correction/ec09-captions.html" TargetMode="External" Id="rId26"/><Relationship Type="http://schemas.openxmlformats.org/officeDocument/2006/relationships/hyperlink" Target="http://127.0.0.1:8765/site-accessible/ec09-captions.html" TargetMode="External" Id="rId27"/><Relationship Type="http://schemas.openxmlformats.org/officeDocument/2006/relationships/hyperlink" Target="http://127.0.0.1:8765/site-inaccessible/ec10-transcript.html" TargetMode="External" Id="rId28"/><Relationship Type="http://schemas.openxmlformats.org/officeDocument/2006/relationships/hyperlink" Target="http://127.0.0.1:8765/site-aide-correction/ec10-transcript.html" TargetMode="External" Id="rId29"/><Relationship Type="http://schemas.openxmlformats.org/officeDocument/2006/relationships/hyperlink" Target="http://127.0.0.1:8765/site-accessible/ec10-transcript.html" TargetMode="External" Id="rId30"/><Relationship Type="http://schemas.openxmlformats.org/officeDocument/2006/relationships/hyperlink" Target="http://127.0.0.1:8765/site-inaccessible/ec11-audio-description.html" TargetMode="External" Id="rId31"/><Relationship Type="http://schemas.openxmlformats.org/officeDocument/2006/relationships/hyperlink" Target="http://127.0.0.1:8765/site-aide-correction/ec11-audio-description.html" TargetMode="External" Id="rId32"/><Relationship Type="http://schemas.openxmlformats.org/officeDocument/2006/relationships/hyperlink" Target="http://127.0.0.1:8765/site-accessible/ec11-audio-description.html" TargetMode="External" Id="rId33"/><Relationship Type="http://schemas.openxmlformats.org/officeDocument/2006/relationships/hyperlink" Target="http://127.0.0.1:8765/site-inaccessible/ec12-form-labels.html" TargetMode="External" Id="rId34"/><Relationship Type="http://schemas.openxmlformats.org/officeDocument/2006/relationships/hyperlink" Target="http://127.0.0.1:8765/site-aide-correction/ec12-form-labels.html" TargetMode="External" Id="rId35"/><Relationship Type="http://schemas.openxmlformats.org/officeDocument/2006/relationships/hyperlink" Target="http://127.0.0.1:8765/site-accessible/ec12-form-labels.html" TargetMode="External" Id="rId36"/><Relationship Type="http://schemas.openxmlformats.org/officeDocument/2006/relationships/hyperlink" Target="http://127.0.0.1:8765/site-inaccessible/ec13-required-errors.html" TargetMode="External" Id="rId37"/><Relationship Type="http://schemas.openxmlformats.org/officeDocument/2006/relationships/hyperlink" Target="http://127.0.0.1:8765/site-aide-correction/ec13-required-errors.html" TargetMode="External" Id="rId38"/><Relationship Type="http://schemas.openxmlformats.org/officeDocument/2006/relationships/hyperlink" Target="http://127.0.0.1:8765/site-accessible/ec13-required-errors.html" TargetMode="External" Id="rId3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6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102846 -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Exercice - 13 pages : correspondance entre les slides, les pages du site d'exercice et les lignes à remplir dans la grille.</t>
        </is>
      </c>
    </row>
    <row r="39" ht="26" customHeight="1">
      <c r="A39" s="2" t="inlineStr"/>
      <c r="B39" s="2" t="inlineStr">
        <is>
          <t>Onglets de page : 13 critères à remplir pour la page auditée.</t>
        </is>
      </c>
    </row>
    <row r="40" ht="26" customHeight="1">
      <c r="A40" s="2" t="inlineStr"/>
      <c r="B40" s="2" t="inlineStr">
        <is>
          <t>Exemple : audit illustratif sur une page type.</t>
        </is>
      </c>
    </row>
    <row r="41" ht="26" customHeight="1">
      <c r="A41" s="2" t="inlineStr"/>
      <c r="B41" s="2" t="inlineStr">
        <is>
          <t>Synthèse : décompte automatique et taux de conformité multi-pages.</t>
        </is>
      </c>
    </row>
    <row r="42" ht="26" customHeight="1">
      <c r="A42" s="2" t="inlineStr"/>
      <c r="B42" s="2" t="inlineStr"/>
    </row>
    <row r="43" ht="26" customHeight="1">
      <c r="A43" s="3" t="inlineStr">
        <is>
          <t>Références</t>
        </is>
      </c>
      <c r="B43" s="2" t="inlineStr"/>
    </row>
    <row r="44" ht="26" customHeight="1">
      <c r="A44" s="2" t="inlineStr"/>
      <c r="B44" s="2" t="inlineStr">
        <is>
          <t>points de contrôle rapides W3C : https://www.w3.org/WAI/test-evaluate/easy-checks/</t>
        </is>
      </c>
    </row>
    <row r="45" ht="26" customHeight="1">
      <c r="A45" s="2" t="inlineStr"/>
      <c r="B45" s="2" t="inlineStr">
        <is>
          <t>RGAA 4.1.2 : https://accessibilite.numerique.gouv.fr/</t>
        </is>
      </c>
    </row>
    <row r="46" ht="26" customHeight="1">
      <c r="A46" s="2" t="inlineStr"/>
      <c r="B46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8" customWidth="1" min="3" max="3"/>
    <col width="18" customWidth="1" min="4" max="4"/>
    <col width="28" customWidth="1" min="5" max="5"/>
    <col width="28" customWidth="1" min="6" max="6"/>
    <col width="28" customWidth="1" min="7" max="7"/>
    <col width="22" customWidth="1" min="8" max="8"/>
    <col width="14" customWidth="1" min="9" max="9"/>
    <col width="58" customWidth="1" min="10" max="10"/>
  </cols>
  <sheetData>
    <row r="1" ht="38" customHeight="1">
      <c r="A1" s="1" t="inlineStr">
        <is>
          <t>Exercice - correspondance entre slides, site et grille</t>
        </is>
      </c>
    </row>
    <row r="3" ht="58" customHeight="1">
      <c r="A3" s="2" t="inlineStr">
        <is>
          <t>Utilisez cet onglet pendant l'exercice : partez de la slide, ouvrez la page à auditer, puis renseignez la ligne correspondante dans l'onglet de grille conseillé. Les pages d'aide et corrigées servent après la recherche en autonomie.</t>
        </is>
      </c>
    </row>
    <row r="5" ht="42" customHeight="1">
      <c r="A5" s="8" t="inlineStr">
        <is>
          <t>#</t>
        </is>
      </c>
      <c r="B5" s="8" t="inlineStr">
        <is>
          <t>Page d'exercice</t>
        </is>
      </c>
      <c r="C5" s="8" t="inlineStr">
        <is>
          <t>Point rapide</t>
        </is>
      </c>
      <c r="D5" s="8" t="inlineStr">
        <is>
          <t>Slides</t>
        </is>
      </c>
      <c r="E5" s="8" t="inlineStr">
        <is>
          <t>Page à auditer</t>
        </is>
      </c>
      <c r="F5" s="8" t="inlineStr">
        <is>
          <t>Aide</t>
        </is>
      </c>
      <c r="G5" s="8" t="inlineStr">
        <is>
          <t>Correction</t>
        </is>
      </c>
      <c r="H5" s="8" t="inlineStr">
        <is>
          <t>Onglet conseillé</t>
        </is>
      </c>
      <c r="I5" s="8" t="inlineStr">
        <is>
          <t>Ligne</t>
        </is>
      </c>
      <c r="J5" s="8" t="inlineStr">
        <is>
          <t>Mission minimale</t>
        </is>
      </c>
    </row>
    <row r="6" ht="78" customHeight="1">
      <c r="A6" s="9" t="n">
        <v>1</v>
      </c>
      <c r="B6" s="10" t="inlineStr">
        <is>
          <t>Actualité illustrée</t>
        </is>
      </c>
      <c r="C6" s="10" t="inlineStr">
        <is>
          <t>Texte alternatif des images</t>
        </is>
      </c>
      <c r="D6" s="11" t="inlineStr">
        <is>
          <t>53-55</t>
        </is>
      </c>
      <c r="E6" s="12" t="inlineStr">
        <is>
          <t>Ouvrir</t>
        </is>
      </c>
      <c r="F6" s="12" t="inlineStr">
        <is>
          <t>Ouvrir</t>
        </is>
      </c>
      <c r="G6" s="12" t="inlineStr">
        <is>
          <t>Ouvrir</t>
        </is>
      </c>
      <c r="H6" s="13" t="inlineStr">
        <is>
          <t>10. Article</t>
        </is>
      </c>
      <c r="I6" s="14" t="n">
        <v>1</v>
      </c>
      <c r="J6" s="10" t="inlineStr">
        <is>
          <t>Qualifier le rôle de chaque image puis vérifier si l'alternative transmet l'information ou l'action utile.</t>
        </is>
      </c>
    </row>
    <row r="7" ht="78" customHeight="1">
      <c r="A7" s="9" t="n">
        <v>2</v>
      </c>
      <c r="B7" s="10" t="inlineStr">
        <is>
          <t>Résultats de recherche RGAA</t>
        </is>
      </c>
      <c r="C7" s="10" t="inlineStr">
        <is>
          <t>Titre de page</t>
        </is>
      </c>
      <c r="D7" s="11" t="inlineStr">
        <is>
          <t>56</t>
        </is>
      </c>
      <c r="E7" s="12" t="inlineStr">
        <is>
          <t>Ouvrir</t>
        </is>
      </c>
      <c r="F7" s="12" t="inlineStr">
        <is>
          <t>Ouvrir</t>
        </is>
      </c>
      <c r="G7" s="12" t="inlineStr">
        <is>
          <t>Ouvrir</t>
        </is>
      </c>
      <c r="H7" s="13" t="inlineStr">
        <is>
          <t>8. Recherche</t>
        </is>
      </c>
      <c r="I7" s="14" t="n">
        <v>2</v>
      </c>
      <c r="J7" s="10" t="inlineStr">
        <is>
          <t>Vérifier que le titre de page identifie la requête, la pagination et le site dans un ordre utile.</t>
        </is>
      </c>
    </row>
    <row r="8" ht="78" customHeight="1">
      <c r="A8" s="9" t="n">
        <v>3</v>
      </c>
      <c r="B8" s="10" t="inlineStr">
        <is>
          <t>Guide du RGAA</t>
        </is>
      </c>
      <c r="C8" s="10" t="inlineStr">
        <is>
          <t>Titres et hiérarchie</t>
        </is>
      </c>
      <c r="D8" s="11" t="inlineStr">
        <is>
          <t>57-58</t>
        </is>
      </c>
      <c r="E8" s="12" t="inlineStr">
        <is>
          <t>Ouvrir</t>
        </is>
      </c>
      <c r="F8" s="12" t="inlineStr">
        <is>
          <t>Ouvrir</t>
        </is>
      </c>
      <c r="G8" s="12" t="inlineStr">
        <is>
          <t>Ouvrir</t>
        </is>
      </c>
      <c r="H8" s="13" t="inlineStr">
        <is>
          <t>10. Article</t>
        </is>
      </c>
      <c r="I8" s="14" t="n">
        <v>3</v>
      </c>
      <c r="J8" s="10" t="inlineStr">
        <is>
          <t>Comparer le plan visuel et le plan technique des titres.</t>
        </is>
      </c>
    </row>
    <row r="9" ht="78" customHeight="1">
      <c r="A9" s="9" t="n">
        <v>4</v>
      </c>
      <c r="B9" s="10" t="inlineStr">
        <is>
          <t>Charte de publication</t>
        </is>
      </c>
      <c r="C9" s="10" t="inlineStr">
        <is>
          <t>Contraste des couleurs</t>
        </is>
      </c>
      <c r="D9" s="11" t="inlineStr">
        <is>
          <t>59-60</t>
        </is>
      </c>
      <c r="E9" s="12" t="inlineStr">
        <is>
          <t>Ouvrir</t>
        </is>
      </c>
      <c r="F9" s="12" t="inlineStr">
        <is>
          <t>Ouvrir</t>
        </is>
      </c>
      <c r="G9" s="12" t="inlineStr">
        <is>
          <t>Ouvrir</t>
        </is>
      </c>
      <c r="H9" s="13" t="inlineStr">
        <is>
          <t>10. Article</t>
        </is>
      </c>
      <c r="I9" s="14" t="n">
        <v>4</v>
      </c>
      <c r="J9" s="10" t="inlineStr">
        <is>
          <t>Mesurer le contraste d'un texte, d'un lien, d'un bouton ou d'un statut.</t>
        </is>
      </c>
    </row>
    <row r="10" ht="78" customHeight="1">
      <c r="A10" s="9" t="n">
        <v>5</v>
      </c>
      <c r="B10" s="10" t="inlineStr">
        <is>
          <t>Accès rapide aux contenus</t>
        </is>
      </c>
      <c r="C10" s="10" t="inlineStr">
        <is>
          <t>Lien d'évitement</t>
        </is>
      </c>
      <c r="D10" s="11" t="inlineStr">
        <is>
          <t>61</t>
        </is>
      </c>
      <c r="E10" s="12" t="inlineStr">
        <is>
          <t>Ouvrir</t>
        </is>
      </c>
      <c r="F10" s="12" t="inlineStr">
        <is>
          <t>Ouvrir</t>
        </is>
      </c>
      <c r="G10" s="12" t="inlineStr">
        <is>
          <t>Ouvrir</t>
        </is>
      </c>
      <c r="H10" s="13" t="inlineStr">
        <is>
          <t>1. Accueil</t>
        </is>
      </c>
      <c r="I10" s="14" t="n">
        <v>5</v>
      </c>
      <c r="J10" s="10" t="inlineStr">
        <is>
          <t>Appuyer sur Tab au chargement et vérifier la présence, la visibilité et la cible du lien d'évitement.</t>
        </is>
      </c>
    </row>
    <row r="11" ht="78" customHeight="1">
      <c r="A11" s="9" t="n">
        <v>6</v>
      </c>
      <c r="B11" s="10" t="inlineStr">
        <is>
          <t>Parcours clavier</t>
        </is>
      </c>
      <c r="C11" s="10" t="inlineStr">
        <is>
          <t>Focus et navigation clavier</t>
        </is>
      </c>
      <c r="D11" s="11" t="inlineStr">
        <is>
          <t>62-65</t>
        </is>
      </c>
      <c r="E11" s="12" t="inlineStr">
        <is>
          <t>Ouvrir</t>
        </is>
      </c>
      <c r="F11" s="12" t="inlineStr">
        <is>
          <t>Ouvrir</t>
        </is>
      </c>
      <c r="G11" s="12" t="inlineStr">
        <is>
          <t>Ouvrir</t>
        </is>
      </c>
      <c r="H11" s="13" t="inlineStr">
        <is>
          <t>11. Formulaire</t>
        </is>
      </c>
      <c r="I11" s="14" t="n">
        <v>6</v>
      </c>
      <c r="J11" s="10" t="inlineStr">
        <is>
          <t>Parcourir la page au clavier : focus visible, ordre logique, activation clavier, absence de piège.</t>
        </is>
      </c>
    </row>
    <row r="12" ht="78" customHeight="1">
      <c r="A12" s="9" t="n">
        <v>7</v>
      </c>
      <c r="B12" s="10" t="inlineStr">
        <is>
          <t>Atelier international</t>
        </is>
      </c>
      <c r="C12" s="10" t="inlineStr">
        <is>
          <t>Langue de la page</t>
        </is>
      </c>
      <c r="D12" s="11" t="inlineStr">
        <is>
          <t>66</t>
        </is>
      </c>
      <c r="E12" s="12" t="inlineStr">
        <is>
          <t>Ouvrir</t>
        </is>
      </c>
      <c r="F12" s="12" t="inlineStr">
        <is>
          <t>Ouvrir</t>
        </is>
      </c>
      <c r="G12" s="12" t="inlineStr">
        <is>
          <t>Ouvrir</t>
        </is>
      </c>
      <c r="H12" s="13" t="inlineStr">
        <is>
          <t>10. Article</t>
        </is>
      </c>
      <c r="I12" s="14" t="n">
        <v>7</v>
      </c>
      <c r="J12" s="10" t="inlineStr">
        <is>
          <t>Vérifier la langue principale et les changements de langue ou de sens de lecture.</t>
        </is>
      </c>
    </row>
    <row r="13" ht="78" customHeight="1">
      <c r="A13" s="9" t="n">
        <v>8</v>
      </c>
      <c r="B13" s="10" t="inlineStr">
        <is>
          <t>Ressources à zoomer</t>
        </is>
      </c>
      <c r="C13" s="10" t="inlineStr">
        <is>
          <t>Zoom à 200 %</t>
        </is>
      </c>
      <c r="D13" s="11" t="inlineStr">
        <is>
          <t>67</t>
        </is>
      </c>
      <c r="E13" s="12" t="inlineStr">
        <is>
          <t>Ouvrir</t>
        </is>
      </c>
      <c r="F13" s="12" t="inlineStr">
        <is>
          <t>Ouvrir</t>
        </is>
      </c>
      <c r="G13" s="12" t="inlineStr">
        <is>
          <t>Ouvrir</t>
        </is>
      </c>
      <c r="H13" s="13" t="inlineStr">
        <is>
          <t>12. Liste</t>
        </is>
      </c>
      <c r="I13" s="14" t="n">
        <v>8</v>
      </c>
      <c r="J13" s="10" t="inlineStr">
        <is>
          <t>Zoomer à 200 % et vérifier qu'aucun contenu utile n'est coupé, masqué ou inutilisable.</t>
        </is>
      </c>
    </row>
    <row r="14" ht="78" customHeight="1">
      <c r="A14" s="9" t="n">
        <v>9</v>
      </c>
      <c r="B14" s="10" t="inlineStr">
        <is>
          <t>Vidéo de sensibilisation</t>
        </is>
      </c>
      <c r="C14" s="10" t="inlineStr">
        <is>
          <t>Sous-titres vidéo</t>
        </is>
      </c>
      <c r="D14" s="11" t="inlineStr">
        <is>
          <t>68-69</t>
        </is>
      </c>
      <c r="E14" s="12" t="inlineStr">
        <is>
          <t>Ouvrir</t>
        </is>
      </c>
      <c r="F14" s="12" t="inlineStr">
        <is>
          <t>Ouvrir</t>
        </is>
      </c>
      <c r="G14" s="12" t="inlineStr">
        <is>
          <t>Ouvrir</t>
        </is>
      </c>
      <c r="H14" s="13" t="inlineStr">
        <is>
          <t>10. Article</t>
        </is>
      </c>
      <c r="I14" s="14" t="n">
        <v>9</v>
      </c>
      <c r="J14" s="10" t="inlineStr">
        <is>
          <t>Couper le son et vérifier la présence de sous-titres synchronisés et relus.</t>
        </is>
      </c>
    </row>
    <row r="15" ht="78" customHeight="1">
      <c r="A15" s="9" t="n">
        <v>10</v>
      </c>
      <c r="B15" s="10" t="inlineStr">
        <is>
          <t>Écouter un podcast</t>
        </is>
      </c>
      <c r="C15" s="10" t="inlineStr">
        <is>
          <t>Transcriptions audio et vidéo</t>
        </is>
      </c>
      <c r="D15" s="11" t="inlineStr">
        <is>
          <t>70</t>
        </is>
      </c>
      <c r="E15" s="12" t="inlineStr">
        <is>
          <t>Ouvrir</t>
        </is>
      </c>
      <c r="F15" s="12" t="inlineStr">
        <is>
          <t>Ouvrir</t>
        </is>
      </c>
      <c r="G15" s="12" t="inlineStr">
        <is>
          <t>Ouvrir</t>
        </is>
      </c>
      <c r="H15" s="13" t="inlineStr">
        <is>
          <t>10. Article</t>
        </is>
      </c>
      <c r="I15" s="14" t="n">
        <v>10</v>
      </c>
      <c r="J15" s="10" t="inlineStr">
        <is>
          <t>Vérifier qu'une transcription proche du lecteur permet de comprendre le contenu sans écouter l'audio.</t>
        </is>
      </c>
    </row>
    <row r="16" ht="78" customHeight="1">
      <c r="A16" s="9" t="n">
        <v>11</v>
      </c>
      <c r="B16" s="10" t="inlineStr">
        <is>
          <t>Démonstration vidéo</t>
        </is>
      </c>
      <c r="C16" s="10" t="inlineStr">
        <is>
          <t>Audiodescription</t>
        </is>
      </c>
      <c r="D16" s="11" t="inlineStr">
        <is>
          <t>71</t>
        </is>
      </c>
      <c r="E16" s="12" t="inlineStr">
        <is>
          <t>Ouvrir</t>
        </is>
      </c>
      <c r="F16" s="12" t="inlineStr">
        <is>
          <t>Ouvrir</t>
        </is>
      </c>
      <c r="G16" s="12" t="inlineStr">
        <is>
          <t>Ouvrir</t>
        </is>
      </c>
      <c r="H16" s="13" t="inlineStr">
        <is>
          <t>10. Article</t>
        </is>
      </c>
      <c r="I16" s="14" t="n">
        <v>11</v>
      </c>
      <c r="J16" s="10" t="inlineStr">
        <is>
          <t>Commencer par la version audiodécrite et vérifier quelles informations visuelles deviennent disponibles sans voir l'image.</t>
        </is>
      </c>
    </row>
    <row r="17" ht="78" customHeight="1">
      <c r="A17" s="9" t="n">
        <v>12</v>
      </c>
      <c r="B17" s="10" t="inlineStr">
        <is>
          <t>Inscription à un webinaire</t>
        </is>
      </c>
      <c r="C17" s="10" t="inlineStr">
        <is>
          <t>Étiquettes de formulaire</t>
        </is>
      </c>
      <c r="D17" s="11" t="inlineStr">
        <is>
          <t>72-74</t>
        </is>
      </c>
      <c r="E17" s="12" t="inlineStr">
        <is>
          <t>Ouvrir</t>
        </is>
      </c>
      <c r="F17" s="12" t="inlineStr">
        <is>
          <t>Ouvrir</t>
        </is>
      </c>
      <c r="G17" s="12" t="inlineStr">
        <is>
          <t>Ouvrir</t>
        </is>
      </c>
      <c r="H17" s="13" t="inlineStr">
        <is>
          <t>11. Formulaire</t>
        </is>
      </c>
      <c r="I17" s="14" t="n">
        <v>12</v>
      </c>
      <c r="J17" s="10" t="inlineStr">
        <is>
          <t>Vérifier l'étiquette visible, son association au champ et les légendes des groupes.</t>
        </is>
      </c>
    </row>
    <row r="18" ht="78" customHeight="1">
      <c r="A18" s="9" t="n">
        <v>13</v>
      </c>
      <c r="B18" s="10" t="inlineStr">
        <is>
          <t>Formulaire de contact</t>
        </is>
      </c>
      <c r="C18" s="10" t="inlineStr">
        <is>
          <t>Champs obligatoires et erreurs</t>
        </is>
      </c>
      <c r="D18" s="11" t="inlineStr">
        <is>
          <t>75</t>
        </is>
      </c>
      <c r="E18" s="12" t="inlineStr">
        <is>
          <t>Ouvrir</t>
        </is>
      </c>
      <c r="F18" s="12" t="inlineStr">
        <is>
          <t>Ouvrir</t>
        </is>
      </c>
      <c r="G18" s="12" t="inlineStr">
        <is>
          <t>Ouvrir</t>
        </is>
      </c>
      <c r="H18" s="13" t="inlineStr">
        <is>
          <t>5. Contact</t>
        </is>
      </c>
      <c r="I18" s="14" t="n">
        <v>13</v>
      </c>
      <c r="J18" s="10" t="inlineStr">
        <is>
          <t>Soumettre le formulaire et vérifier l'annonce des champs obligatoires et des erreurs.</t>
        </is>
      </c>
    </row>
    <row r="20" ht="48" customHeight="1">
      <c r="A20" s="15" t="inlineStr">
        <is>
          <t>Rappel : une seule occurrence correctement prouvée suffit pour renseigner NC sur le point ciblé. Les autres occurrences servent à enrichir la restitution collective.</t>
        </is>
      </c>
    </row>
  </sheetData>
  <mergeCells count="3">
    <mergeCell ref="A1:J1"/>
    <mergeCell ref="A20:J20"/>
    <mergeCell ref="A3:J3"/>
  </mergeCells>
  <hyperlinks>
    <hyperlink xmlns:r="http://schemas.openxmlformats.org/officeDocument/2006/relationships" ref="E6" r:id="rId1"/>
    <hyperlink xmlns:r="http://schemas.openxmlformats.org/officeDocument/2006/relationships" ref="F6" r:id="rId2"/>
    <hyperlink xmlns:r="http://schemas.openxmlformats.org/officeDocument/2006/relationships" ref="G6" r:id="rId3"/>
    <hyperlink xmlns:r="http://schemas.openxmlformats.org/officeDocument/2006/relationships" ref="E7" r:id="rId4"/>
    <hyperlink xmlns:r="http://schemas.openxmlformats.org/officeDocument/2006/relationships" ref="F7" r:id="rId5"/>
    <hyperlink xmlns:r="http://schemas.openxmlformats.org/officeDocument/2006/relationships" ref="G7" r:id="rId6"/>
    <hyperlink xmlns:r="http://schemas.openxmlformats.org/officeDocument/2006/relationships" ref="E8" r:id="rId7"/>
    <hyperlink xmlns:r="http://schemas.openxmlformats.org/officeDocument/2006/relationships" ref="F8" r:id="rId8"/>
    <hyperlink xmlns:r="http://schemas.openxmlformats.org/officeDocument/2006/relationships" ref="G8" r:id="rId9"/>
    <hyperlink xmlns:r="http://schemas.openxmlformats.org/officeDocument/2006/relationships" ref="E9" r:id="rId10"/>
    <hyperlink xmlns:r="http://schemas.openxmlformats.org/officeDocument/2006/relationships" ref="F9" r:id="rId11"/>
    <hyperlink xmlns:r="http://schemas.openxmlformats.org/officeDocument/2006/relationships" ref="G9" r:id="rId12"/>
    <hyperlink xmlns:r="http://schemas.openxmlformats.org/officeDocument/2006/relationships" ref="E10" r:id="rId13"/>
    <hyperlink xmlns:r="http://schemas.openxmlformats.org/officeDocument/2006/relationships" ref="F10" r:id="rId14"/>
    <hyperlink xmlns:r="http://schemas.openxmlformats.org/officeDocument/2006/relationships" ref="G10" r:id="rId15"/>
    <hyperlink xmlns:r="http://schemas.openxmlformats.org/officeDocument/2006/relationships" ref="E11" r:id="rId16"/>
    <hyperlink xmlns:r="http://schemas.openxmlformats.org/officeDocument/2006/relationships" ref="F11" r:id="rId17"/>
    <hyperlink xmlns:r="http://schemas.openxmlformats.org/officeDocument/2006/relationships" ref="G11" r:id="rId18"/>
    <hyperlink xmlns:r="http://schemas.openxmlformats.org/officeDocument/2006/relationships" ref="E12" r:id="rId19"/>
    <hyperlink xmlns:r="http://schemas.openxmlformats.org/officeDocument/2006/relationships" ref="F12" r:id="rId20"/>
    <hyperlink xmlns:r="http://schemas.openxmlformats.org/officeDocument/2006/relationships" ref="G12" r:id="rId21"/>
    <hyperlink xmlns:r="http://schemas.openxmlformats.org/officeDocument/2006/relationships" ref="E13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E14" r:id="rId25"/>
    <hyperlink xmlns:r="http://schemas.openxmlformats.org/officeDocument/2006/relationships" ref="F14" r:id="rId26"/>
    <hyperlink xmlns:r="http://schemas.openxmlformats.org/officeDocument/2006/relationships" ref="G14" r:id="rId27"/>
    <hyperlink xmlns:r="http://schemas.openxmlformats.org/officeDocument/2006/relationships" ref="E15" r:id="rId28"/>
    <hyperlink xmlns:r="http://schemas.openxmlformats.org/officeDocument/2006/relationships" ref="F15" r:id="rId29"/>
    <hyperlink xmlns:r="http://schemas.openxmlformats.org/officeDocument/2006/relationships" ref="G15" r:id="rId30"/>
    <hyperlink xmlns:r="http://schemas.openxmlformats.org/officeDocument/2006/relationships" ref="E16" r:id="rId31"/>
    <hyperlink xmlns:r="http://schemas.openxmlformats.org/officeDocument/2006/relationships" ref="F16" r:id="rId32"/>
    <hyperlink xmlns:r="http://schemas.openxmlformats.org/officeDocument/2006/relationships" ref="G16" r:id="rId33"/>
    <hyperlink xmlns:r="http://schemas.openxmlformats.org/officeDocument/2006/relationships" ref="E17" r:id="rId34"/>
    <hyperlink xmlns:r="http://schemas.openxmlformats.org/officeDocument/2006/relationships" ref="F17" r:id="rId35"/>
    <hyperlink xmlns:r="http://schemas.openxmlformats.org/officeDocument/2006/relationships" ref="G17" r:id="rId36"/>
    <hyperlink xmlns:r="http://schemas.openxmlformats.org/officeDocument/2006/relationships" ref="E18" r:id="rId37"/>
    <hyperlink xmlns:r="http://schemas.openxmlformats.org/officeDocument/2006/relationships" ref="F18" r:id="rId38"/>
    <hyperlink xmlns:r="http://schemas.openxmlformats.org/officeDocument/2006/relationships" ref="G18" r:id="rId39"/>
  </hyperlink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11" t="n">
        <v>1</v>
      </c>
      <c r="B9" s="10" t="inlineStr">
        <is>
          <t>Page d'accueil</t>
        </is>
      </c>
      <c r="C9" s="14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11" t="n">
        <v>2</v>
      </c>
      <c r="B10" s="10" t="inlineStr">
        <is>
          <t>Page « Mentions légales »</t>
        </is>
      </c>
      <c r="C10" s="14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11" t="n">
        <v>3</v>
      </c>
      <c r="B11" s="10" t="inlineStr">
        <is>
          <t>Déclaration d'accessibilité</t>
        </is>
      </c>
      <c r="C11" s="14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11" t="n">
        <v>4</v>
      </c>
      <c r="B12" s="10" t="inlineStr">
        <is>
          <t>Page « Plan du site »</t>
        </is>
      </c>
      <c r="C12" s="14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11" t="n">
        <v>5</v>
      </c>
      <c r="B13" s="10" t="inlineStr">
        <is>
          <t>Page « Contact »</t>
        </is>
      </c>
      <c r="C13" s="14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11" t="n">
        <v>6</v>
      </c>
      <c r="B14" s="10" t="inlineStr">
        <is>
          <t>Page « Aide » / FAQ</t>
        </is>
      </c>
      <c r="C14" s="14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11" t="n">
        <v>7</v>
      </c>
      <c r="B15" s="10" t="inlineStr">
        <is>
          <t>Page d'authentification / connexion</t>
        </is>
      </c>
      <c r="C15" s="16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11" t="n">
        <v>8</v>
      </c>
      <c r="B16" s="10" t="inlineStr">
        <is>
          <t>Page de résultats de recherche</t>
        </is>
      </c>
      <c r="C16" s="16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11" t="n">
        <v>9</v>
      </c>
      <c r="B17" s="10" t="inlineStr">
        <is>
          <t>Document téléchargeable (PDF, DOCX, ODT)</t>
        </is>
      </c>
      <c r="C17" s="16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11" t="n">
        <v>10</v>
      </c>
      <c r="B18" s="10" t="inlineStr">
        <is>
          <t>Page type : article, actualité ou contenu rédactionnel</t>
        </is>
      </c>
      <c r="C18" s="17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11" t="n">
        <v>11</v>
      </c>
      <c r="B19" s="10" t="inlineStr">
        <is>
          <t>Page type : formulaire de démarche ou saisie multi-étape</t>
        </is>
      </c>
      <c r="C19" s="17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11" t="n">
        <v>12</v>
      </c>
      <c r="B20" s="10" t="inlineStr">
        <is>
          <t>Page type : liste / rubrique / résultats de navigation</t>
        </is>
      </c>
      <c r="C20" s="17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8" t="inlineStr">
        <is>
          <t>Légende</t>
        </is>
      </c>
    </row>
    <row r="23" ht="30" customHeight="1">
      <c r="B23" s="19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20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21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d'accueil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Mentions légales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Déclaration d'accessibilité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Plan du site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Contact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Aide » / FAQ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d'authentification / connexion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de résultats de recherche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Document téléchargeable (PDF, DOCX, ODT)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article, actualité ou contenu rédactionnel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formulaire de démarche ou saisie multi-étape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liste / rubrique / résultats de navigation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>
        <is>
          <t>Dupont Jean</t>
        </is>
      </c>
    </row>
    <row r="2" ht="26" customHeight="1">
      <c r="A2" s="22" t="inlineStr">
        <is>
          <t>Date de l'audit</t>
        </is>
      </c>
      <c r="B2" s="23" t="n"/>
      <c r="C2" s="23" t="n"/>
      <c r="D2" s="2" t="inlineStr">
        <is>
          <t>4 juin 2026</t>
        </is>
      </c>
    </row>
    <row r="3" ht="26" customHeight="1">
      <c r="A3" s="22" t="inlineStr">
        <is>
          <t>URL de la page auditée</t>
        </is>
      </c>
      <c r="B3" s="23" t="n"/>
      <c r="C3" s="23" t="n"/>
      <c r="D3" s="2" t="inlineStr">
        <is>
          <t>https://exemple.gouv.fr/accueil</t>
        </is>
      </c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d'accueil ministère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>
        <is>
          <t>Firefox 122 sous Windows 11</t>
        </is>
      </c>
    </row>
    <row r="6" ht="26" customHeight="1">
      <c r="A6" s="22" t="inlineStr">
        <is>
          <t>Outils utilisés</t>
        </is>
      </c>
      <c r="B6" s="23" t="n"/>
      <c r="C6" s="23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9" t="inlineStr">
        <is>
          <t>NC</t>
        </is>
      </c>
      <c r="H9" s="30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31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9" t="inlineStr">
        <is>
          <t>NC</t>
        </is>
      </c>
      <c r="H11" s="32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9" t="inlineStr">
        <is>
          <t>NC</t>
        </is>
      </c>
      <c r="H12" s="33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31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9" t="inlineStr">
        <is>
          <t>NC</t>
        </is>
      </c>
      <c r="H14" s="33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31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9" t="inlineStr">
        <is>
          <t>NC</t>
        </is>
      </c>
      <c r="H16" s="30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4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4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4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9" t="inlineStr">
        <is>
          <t>NC</t>
        </is>
      </c>
      <c r="H20" s="33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29" t="inlineStr">
        <is>
          <t>NC</t>
        </is>
      </c>
      <c r="H21" s="33" t="inlineStr">
        <is>
          <t>Bloquant</t>
        </is>
      </c>
      <c r="I21" s="10" t="inlineStr">
        <is>
          <t>Après soumission, les erreurs ne sont pas reliées aux champs et le focus reste sans guidage.</t>
        </is>
      </c>
      <c r="J21" s="10" t="inlineStr">
        <is>
          <t>Relier chaque erreur avec aria-describedby, poser aria-invalid="true" et déplacer le focus vers le récapitulatif d'erreurs.</t>
        </is>
      </c>
      <c r="K21" s="10" t="inlineStr">
        <is>
          <t>contact.html, form#contact</t>
        </is>
      </c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11" t="n">
        <v>1</v>
      </c>
      <c r="B6" s="10" t="inlineStr">
        <is>
          <t>Page d'accueil</t>
        </is>
      </c>
      <c r="C6" s="14" t="inlineStr">
        <is>
          <t>Obligatoire</t>
        </is>
      </c>
      <c r="D6" s="11">
        <f>IFERROR('1. Accueil'!B25,0)</f>
        <v/>
      </c>
      <c r="E6" s="11">
        <f>IFERROR('1. Accueil'!B26,0)</f>
        <v/>
      </c>
      <c r="F6" s="11">
        <f>IFERROR('1. Accueil'!B27,0)</f>
        <v/>
      </c>
      <c r="G6" s="35">
        <f>IFERROR(D6/(D6+E6),0)</f>
        <v/>
      </c>
    </row>
    <row r="7" ht="44" customHeight="1">
      <c r="A7" s="11" t="n">
        <v>2</v>
      </c>
      <c r="B7" s="10" t="inlineStr">
        <is>
          <t>Page « Mentions légales »</t>
        </is>
      </c>
      <c r="C7" s="14" t="inlineStr">
        <is>
          <t>Obligatoire</t>
        </is>
      </c>
      <c r="D7" s="11">
        <f>IFERROR('2. Mentions légales'!B25,0)</f>
        <v/>
      </c>
      <c r="E7" s="11">
        <f>IFERROR('2. Mentions légales'!B26,0)</f>
        <v/>
      </c>
      <c r="F7" s="11">
        <f>IFERROR('2. Mentions légales'!B27,0)</f>
        <v/>
      </c>
      <c r="G7" s="35">
        <f>IFERROR(D7/(D7+E7),0)</f>
        <v/>
      </c>
    </row>
    <row r="8" ht="44" customHeight="1">
      <c r="A8" s="11" t="n">
        <v>3</v>
      </c>
      <c r="B8" s="10" t="inlineStr">
        <is>
          <t>Déclaration d'accessibilité</t>
        </is>
      </c>
      <c r="C8" s="14" t="inlineStr">
        <is>
          <t>Obligatoire</t>
        </is>
      </c>
      <c r="D8" s="11">
        <f>IFERROR('3. Déclaration a11y'!B25,0)</f>
        <v/>
      </c>
      <c r="E8" s="11">
        <f>IFERROR('3. Déclaration a11y'!B26,0)</f>
        <v/>
      </c>
      <c r="F8" s="11">
        <f>IFERROR('3. Déclaration a11y'!B27,0)</f>
        <v/>
      </c>
      <c r="G8" s="35">
        <f>IFERROR(D8/(D8+E8),0)</f>
        <v/>
      </c>
    </row>
    <row r="9" ht="44" customHeight="1">
      <c r="A9" s="11" t="n">
        <v>4</v>
      </c>
      <c r="B9" s="10" t="inlineStr">
        <is>
          <t>Page « Plan du site »</t>
        </is>
      </c>
      <c r="C9" s="14" t="inlineStr">
        <is>
          <t>Obligatoire</t>
        </is>
      </c>
      <c r="D9" s="11">
        <f>IFERROR('4. Plan du site'!B25,0)</f>
        <v/>
      </c>
      <c r="E9" s="11">
        <f>IFERROR('4. Plan du site'!B26,0)</f>
        <v/>
      </c>
      <c r="F9" s="11">
        <f>IFERROR('4. Plan du site'!B27,0)</f>
        <v/>
      </c>
      <c r="G9" s="35">
        <f>IFERROR(D9/(D9+E9),0)</f>
        <v/>
      </c>
    </row>
    <row r="10" ht="44" customHeight="1">
      <c r="A10" s="11" t="n">
        <v>5</v>
      </c>
      <c r="B10" s="10" t="inlineStr">
        <is>
          <t>Page « Contact »</t>
        </is>
      </c>
      <c r="C10" s="14" t="inlineStr">
        <is>
          <t>Obligatoire</t>
        </is>
      </c>
      <c r="D10" s="11">
        <f>IFERROR('5. Contact'!B25,0)</f>
        <v/>
      </c>
      <c r="E10" s="11">
        <f>IFERROR('5. Contact'!B26,0)</f>
        <v/>
      </c>
      <c r="F10" s="11">
        <f>IFERROR('5. Contact'!B27,0)</f>
        <v/>
      </c>
      <c r="G10" s="35">
        <f>IFERROR(D10/(D10+E10),0)</f>
        <v/>
      </c>
    </row>
    <row r="11" ht="44" customHeight="1">
      <c r="A11" s="11" t="n">
        <v>6</v>
      </c>
      <c r="B11" s="10" t="inlineStr">
        <is>
          <t>Page « Aide » / FAQ</t>
        </is>
      </c>
      <c r="C11" s="14" t="inlineStr">
        <is>
          <t>Obligatoire</t>
        </is>
      </c>
      <c r="D11" s="11">
        <f>IFERROR('6. Aide'!B25,0)</f>
        <v/>
      </c>
      <c r="E11" s="11">
        <f>IFERROR('6. Aide'!B26,0)</f>
        <v/>
      </c>
      <c r="F11" s="11">
        <f>IFERROR('6. Aide'!B27,0)</f>
        <v/>
      </c>
      <c r="G11" s="35">
        <f>IFERROR(D11/(D11+E11),0)</f>
        <v/>
      </c>
    </row>
    <row r="12" ht="44" customHeight="1">
      <c r="A12" s="11" t="n">
        <v>7</v>
      </c>
      <c r="B12" s="10" t="inlineStr">
        <is>
          <t>Page d'authentification / connexion</t>
        </is>
      </c>
      <c r="C12" s="16" t="inlineStr">
        <is>
          <t>Obligatoire si existante</t>
        </is>
      </c>
      <c r="D12" s="11">
        <f>IFERROR('7. Authentification'!B25,0)</f>
        <v/>
      </c>
      <c r="E12" s="11">
        <f>IFERROR('7. Authentification'!B26,0)</f>
        <v/>
      </c>
      <c r="F12" s="11">
        <f>IFERROR('7. Authentification'!B27,0)</f>
        <v/>
      </c>
      <c r="G12" s="35">
        <f>IFERROR(D12/(D12+E12),0)</f>
        <v/>
      </c>
    </row>
    <row r="13" ht="44" customHeight="1">
      <c r="A13" s="11" t="n">
        <v>8</v>
      </c>
      <c r="B13" s="10" t="inlineStr">
        <is>
          <t>Page de résultats de recherche</t>
        </is>
      </c>
      <c r="C13" s="16" t="inlineStr">
        <is>
          <t>Obligatoire si moteur</t>
        </is>
      </c>
      <c r="D13" s="11">
        <f>IFERROR('8. Recherche'!B25,0)</f>
        <v/>
      </c>
      <c r="E13" s="11">
        <f>IFERROR('8. Recherche'!B26,0)</f>
        <v/>
      </c>
      <c r="F13" s="11">
        <f>IFERROR('8. Recherche'!B27,0)</f>
        <v/>
      </c>
      <c r="G13" s="35">
        <f>IFERROR(D13/(D13+E13),0)</f>
        <v/>
      </c>
    </row>
    <row r="14" ht="44" customHeight="1">
      <c r="A14" s="11" t="n">
        <v>9</v>
      </c>
      <c r="B14" s="10" t="inlineStr">
        <is>
          <t>Document téléchargeable (PDF, DOCX, ODT)</t>
        </is>
      </c>
      <c r="C14" s="16" t="inlineStr">
        <is>
          <t>Obligatoire si présent</t>
        </is>
      </c>
      <c r="D14" s="11">
        <f>IFERROR('9. Document'!B25,0)</f>
        <v/>
      </c>
      <c r="E14" s="11">
        <f>IFERROR('9. Document'!B26,0)</f>
        <v/>
      </c>
      <c r="F14" s="11">
        <f>IFERROR('9. Document'!B27,0)</f>
        <v/>
      </c>
      <c r="G14" s="35">
        <f>IFERROR(D14/(D14+E14),0)</f>
        <v/>
      </c>
    </row>
    <row r="15" ht="44" customHeight="1">
      <c r="A15" s="11" t="n">
        <v>10</v>
      </c>
      <c r="B15" s="10" t="inlineStr">
        <is>
          <t>Page type : article, actualité ou contenu rédactionnel</t>
        </is>
      </c>
      <c r="C15" s="17" t="inlineStr">
        <is>
          <t>Représentative</t>
        </is>
      </c>
      <c r="D15" s="11">
        <f>IFERROR('10. Article'!B25,0)</f>
        <v/>
      </c>
      <c r="E15" s="11">
        <f>IFERROR('10. Article'!B26,0)</f>
        <v/>
      </c>
      <c r="F15" s="11">
        <f>IFERROR('10. Article'!B27,0)</f>
        <v/>
      </c>
      <c r="G15" s="35">
        <f>IFERROR(D15/(D15+E15),0)</f>
        <v/>
      </c>
    </row>
    <row r="16" ht="44" customHeight="1">
      <c r="A16" s="11" t="n">
        <v>11</v>
      </c>
      <c r="B16" s="10" t="inlineStr">
        <is>
          <t>Page type : formulaire de démarche ou saisie multi-étape</t>
        </is>
      </c>
      <c r="C16" s="17" t="inlineStr">
        <is>
          <t>Représentative</t>
        </is>
      </c>
      <c r="D16" s="11">
        <f>IFERROR('11. Formulaire'!B25,0)</f>
        <v/>
      </c>
      <c r="E16" s="11">
        <f>IFERROR('11. Formulaire'!B26,0)</f>
        <v/>
      </c>
      <c r="F16" s="11">
        <f>IFERROR('11. Formulaire'!B27,0)</f>
        <v/>
      </c>
      <c r="G16" s="35">
        <f>IFERROR(D16/(D16+E16),0)</f>
        <v/>
      </c>
    </row>
    <row r="17" ht="44" customHeight="1">
      <c r="A17" s="11" t="n">
        <v>12</v>
      </c>
      <c r="B17" s="10" t="inlineStr">
        <is>
          <t>Page type : liste / rubrique / résultats de navigation</t>
        </is>
      </c>
      <c r="C17" s="17" t="inlineStr">
        <is>
          <t>Représentative</t>
        </is>
      </c>
      <c r="D17" s="11">
        <f>IFERROR('12. Liste'!B25,0)</f>
        <v/>
      </c>
      <c r="E17" s="11">
        <f>IFERROR('12. Liste'!B26,0)</f>
        <v/>
      </c>
      <c r="F17" s="11">
        <f>IFERROR('12. Liste'!B27,0)</f>
        <v/>
      </c>
      <c r="G17" s="35">
        <f>IFERROR(D17/(D17+E17),0)</f>
        <v/>
      </c>
    </row>
    <row r="19" ht="32" customHeight="1">
      <c r="A19" s="26" t="inlineStr">
        <is>
          <t>Total</t>
        </is>
      </c>
      <c r="D19" s="9">
        <f>SUM(D6:D17)</f>
        <v/>
      </c>
      <c r="E19" s="9">
        <f>SUM(E6:E17)</f>
        <v/>
      </c>
      <c r="F19" s="9">
        <f>SUM(F6:F17)</f>
        <v/>
      </c>
      <c r="G19" s="36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102846 -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2026-10-01T22:36:02Z</dcterms:created>
  <dcterms:modified xmlns:dcterms="http://purl.org/dc/terms/" xmlns:xsi="http://www.w3.org/2001/XMLSchema-instance" xsi:type="dcterms:W3CDTF">2026-10-01T22:36:02Z</dcterms:modified>
  <cp:keywords>IGPDE, 102846, accessibilité, RGAA, WCAG, points de contrôle rapides, audit</cp:keywords>
</cp:coreProperties>
</file>