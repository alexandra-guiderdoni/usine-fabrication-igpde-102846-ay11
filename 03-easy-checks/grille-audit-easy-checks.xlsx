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Échantillon RGAA" sheetId="2" state="visible" r:id="rId2"/>
    <sheet xmlns:r="http://schemas.openxmlformats.org/officeDocument/2006/relationships" name="1. Accueil" sheetId="3" state="visible" r:id="rId3"/>
    <sheet xmlns:r="http://schemas.openxmlformats.org/officeDocument/2006/relationships" name="2. Mentions légales" sheetId="4" state="visible" r:id="rId4"/>
    <sheet xmlns:r="http://schemas.openxmlformats.org/officeDocument/2006/relationships" name="3. Déclaration a11y" sheetId="5" state="visible" r:id="rId5"/>
    <sheet xmlns:r="http://schemas.openxmlformats.org/officeDocument/2006/relationships" name="4. Plan du site" sheetId="6" state="visible" r:id="rId6"/>
    <sheet xmlns:r="http://schemas.openxmlformats.org/officeDocument/2006/relationships" name="5. Contact" sheetId="7" state="visible" r:id="rId7"/>
    <sheet xmlns:r="http://schemas.openxmlformats.org/officeDocument/2006/relationships" name="6. Aide" sheetId="8" state="visible" r:id="rId8"/>
    <sheet xmlns:r="http://schemas.openxmlformats.org/officeDocument/2006/relationships" name="7. Authentification" sheetId="9" state="visible" r:id="rId9"/>
    <sheet xmlns:r="http://schemas.openxmlformats.org/officeDocument/2006/relationships" name="8. Recherche" sheetId="10" state="visible" r:id="rId10"/>
    <sheet xmlns:r="http://schemas.openxmlformats.org/officeDocument/2006/relationships" name="9. Document" sheetId="11" state="visible" r:id="rId11"/>
    <sheet xmlns:r="http://schemas.openxmlformats.org/officeDocument/2006/relationships" name="10. Article" sheetId="12" state="visible" r:id="rId12"/>
    <sheet xmlns:r="http://schemas.openxmlformats.org/officeDocument/2006/relationships" name="11. Formulaire" sheetId="13" state="visible" r:id="rId13"/>
    <sheet xmlns:r="http://schemas.openxmlformats.org/officeDocument/2006/relationships" name="12. Liste" sheetId="14" state="visible" r:id="rId14"/>
    <sheet xmlns:r="http://schemas.openxmlformats.org/officeDocument/2006/relationships" name="Exemple" sheetId="15" state="visible" r:id="rId15"/>
    <sheet xmlns:r="http://schemas.openxmlformats.org/officeDocument/2006/relationships" name="Synthès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9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102638 - Grille d'audit 13 Easy Checks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Easy Checks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Easy Checks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Grille vierge : 13 critères à remplir pour la page auditée.</t>
        </is>
      </c>
    </row>
    <row r="39" ht="26" customHeight="1">
      <c r="A39" s="2" t="inlineStr"/>
      <c r="B39" s="2" t="inlineStr">
        <is>
          <t>Exemple : audit illustratif sur une page type.</t>
        </is>
      </c>
    </row>
    <row r="40" ht="26" customHeight="1">
      <c r="A40" s="2" t="inlineStr"/>
      <c r="B40" s="2" t="inlineStr">
        <is>
          <t>Synthèse : décompte automatique et taux de conformité multi-pages.</t>
        </is>
      </c>
    </row>
    <row r="41" ht="26" customHeight="1">
      <c r="A41" s="2" t="inlineStr"/>
      <c r="B41" s="2" t="inlineStr"/>
    </row>
    <row r="42" ht="26" customHeight="1">
      <c r="A42" s="3" t="inlineStr">
        <is>
          <t>Références</t>
        </is>
      </c>
      <c r="B42" s="2" t="inlineStr"/>
    </row>
    <row r="43" ht="26" customHeight="1">
      <c r="A43" s="2" t="inlineStr"/>
      <c r="B43" s="2" t="inlineStr">
        <is>
          <t>W3C Easy Checks : https://www.w3.org/WAI/test-evaluate/easy-checks/</t>
        </is>
      </c>
    </row>
    <row r="44" ht="26" customHeight="1">
      <c r="A44" s="2" t="inlineStr"/>
      <c r="B44" s="2" t="inlineStr">
        <is>
          <t>RGAA 4.1.2 : https://accessibilite.numerique.gouv.fr/</t>
        </is>
      </c>
    </row>
    <row r="45" ht="26" customHeight="1">
      <c r="A45" s="2" t="inlineStr"/>
      <c r="B45" s="2" t="inlineStr">
        <is>
          <t>Inspiration méthodologique : grille Easy Checks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9" t="n">
        <v>1</v>
      </c>
      <c r="B9" s="10" t="inlineStr">
        <is>
          <t>Page d'accueil</t>
        </is>
      </c>
      <c r="C9" s="11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9" t="n">
        <v>2</v>
      </c>
      <c r="B10" s="10" t="inlineStr">
        <is>
          <t>Page « Mentions légales »</t>
        </is>
      </c>
      <c r="C10" s="11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9" t="n">
        <v>3</v>
      </c>
      <c r="B11" s="10" t="inlineStr">
        <is>
          <t>Déclaration d'accessibilité</t>
        </is>
      </c>
      <c r="C11" s="11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9" t="n">
        <v>4</v>
      </c>
      <c r="B12" s="10" t="inlineStr">
        <is>
          <t>Page « Plan du site »</t>
        </is>
      </c>
      <c r="C12" s="11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9" t="n">
        <v>5</v>
      </c>
      <c r="B13" s="10" t="inlineStr">
        <is>
          <t>Page « Contact »</t>
        </is>
      </c>
      <c r="C13" s="11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9" t="n">
        <v>6</v>
      </c>
      <c r="B14" s="10" t="inlineStr">
        <is>
          <t>Page « Aide » / FAQ</t>
        </is>
      </c>
      <c r="C14" s="11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9" t="n">
        <v>7</v>
      </c>
      <c r="B15" s="10" t="inlineStr">
        <is>
          <t>Page d'authentification / connexion</t>
        </is>
      </c>
      <c r="C15" s="12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9" t="n">
        <v>8</v>
      </c>
      <c r="B16" s="10" t="inlineStr">
        <is>
          <t>Page de résultats de recherche</t>
        </is>
      </c>
      <c r="C16" s="12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9" t="n">
        <v>9</v>
      </c>
      <c r="B17" s="10" t="inlineStr">
        <is>
          <t>Document téléchargeable (PDF, DOCX, ODT)</t>
        </is>
      </c>
      <c r="C17" s="12" t="inlineStr">
        <is>
          <t>Obligatoire si présent</t>
        </is>
      </c>
      <c r="D17" s="10" t="inlineStr"/>
      <c r="E17" s="10" t="inlineStr">
        <is>
          <t>Au moins un document représentatif. Attention : les 13 Easy Checks web ne couvrent qu'en partie les documents. Pour un audit complet, utiliser PAC 2024 (gratuit), Acrobat Pro ou Axes4.</t>
        </is>
      </c>
    </row>
    <row r="18" ht="44" customHeight="1">
      <c r="A18" s="9" t="n">
        <v>10</v>
      </c>
      <c r="B18" s="10" t="inlineStr">
        <is>
          <t>Page type : article, actualité ou contenu rédactionnel</t>
        </is>
      </c>
      <c r="C18" s="13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9" t="n">
        <v>11</v>
      </c>
      <c r="B19" s="10" t="inlineStr">
        <is>
          <t>Page type : formulaire de démarche ou saisie multi-étape</t>
        </is>
      </c>
      <c r="C19" s="13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9" t="n">
        <v>12</v>
      </c>
      <c r="B20" s="10" t="inlineStr">
        <is>
          <t>Page type : liste / rubrique / résultats de navigation</t>
        </is>
      </c>
      <c r="C20" s="13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4" t="inlineStr">
        <is>
          <t>Légende</t>
        </is>
      </c>
    </row>
    <row r="23" ht="30" customHeight="1">
      <c r="B23" s="15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16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17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Mentions légales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Déclaration d'accessibilité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Plan du site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Contact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Aide » / FAQ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d'authentification / connexion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de résultats de recherche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Document téléchargeable (PDF, DOCX, ODT)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7" ht="52" customHeight="1">
      <c r="A7" s="6" t="inlineStr">
        <is>
          <t>Attention : les 13 Easy Checks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article, actualité ou contenu rédactionnel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formulaire de démarche ou saisie multi-étape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liste / rubrique / résultats de navigation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>
        <is>
          <t>Dupont Jean</t>
        </is>
      </c>
    </row>
    <row r="2" ht="26" customHeight="1">
      <c r="A2" s="18" t="inlineStr">
        <is>
          <t>Date de l'audit</t>
        </is>
      </c>
      <c r="B2" s="19" t="n"/>
      <c r="C2" s="19" t="n"/>
      <c r="D2" s="2" t="inlineStr">
        <is>
          <t>4 juin 2026</t>
        </is>
      </c>
    </row>
    <row r="3" ht="26" customHeight="1">
      <c r="A3" s="18" t="inlineStr">
        <is>
          <t>URL de la page auditée</t>
        </is>
      </c>
      <c r="B3" s="19" t="n"/>
      <c r="C3" s="19" t="n"/>
      <c r="D3" s="2" t="inlineStr">
        <is>
          <t>https://exemple.gouv.fr/accueil</t>
        </is>
      </c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 ministère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>
        <is>
          <t>Firefox 122 sous Windows 11</t>
        </is>
      </c>
    </row>
    <row r="6" ht="26" customHeight="1">
      <c r="A6" s="18" t="inlineStr">
        <is>
          <t>Outils utilisés</t>
        </is>
      </c>
      <c r="B6" s="19" t="n"/>
      <c r="C6" s="19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5" t="inlineStr">
        <is>
          <t>NC</t>
        </is>
      </c>
      <c r="H9" s="26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27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5" t="inlineStr">
        <is>
          <t>NC</t>
        </is>
      </c>
      <c r="H11" s="28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5" t="inlineStr">
        <is>
          <t>NC</t>
        </is>
      </c>
      <c r="H12" s="29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27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5" t="inlineStr">
        <is>
          <t>NC</t>
        </is>
      </c>
      <c r="H14" s="29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27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5" t="inlineStr">
        <is>
          <t>NC</t>
        </is>
      </c>
      <c r="H16" s="26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0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0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0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5" t="inlineStr">
        <is>
          <t>NC</t>
        </is>
      </c>
      <c r="H20" s="29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25" t="inlineStr">
        <is>
          <t>NC</t>
        </is>
      </c>
      <c r="H21" s="28" t="inlineStr">
        <is>
          <t>Mineur</t>
        </is>
      </c>
      <c r="I21" s="10" t="inlineStr">
        <is>
          <t>Pas de légende « * champ obligatoire » en tête de formulaire.</t>
        </is>
      </c>
      <c r="J21" s="10" t="inlineStr">
        <is>
          <t>Ajouter la légende et un attribut aria-required sur les champs concernés.</t>
        </is>
      </c>
      <c r="K21" s="10" t="inlineStr">
        <is>
          <t>contact.html, form#contact</t>
        </is>
      </c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Easy Checks</t>
        </is>
      </c>
    </row>
    <row r="6" ht="44" customHeight="1">
      <c r="A6" s="9" t="n">
        <v>1</v>
      </c>
      <c r="B6" s="10" t="inlineStr">
        <is>
          <t>Page d'accueil</t>
        </is>
      </c>
      <c r="C6" s="11" t="inlineStr">
        <is>
          <t>Obligatoire</t>
        </is>
      </c>
      <c r="D6" s="9">
        <f>IFERROR('1. Accueil'!B25,0)</f>
        <v/>
      </c>
      <c r="E6" s="9">
        <f>IFERROR('1. Accueil'!B26,0)</f>
        <v/>
      </c>
      <c r="F6" s="9">
        <f>IFERROR('1. Accueil'!B27,0)</f>
        <v/>
      </c>
      <c r="G6" s="31">
        <f>IFERROR(D6/(D6+E6),0)</f>
        <v/>
      </c>
    </row>
    <row r="7" ht="44" customHeight="1">
      <c r="A7" s="9" t="n">
        <v>2</v>
      </c>
      <c r="B7" s="10" t="inlineStr">
        <is>
          <t>Page « Mentions légales »</t>
        </is>
      </c>
      <c r="C7" s="11" t="inlineStr">
        <is>
          <t>Obligatoire</t>
        </is>
      </c>
      <c r="D7" s="9">
        <f>IFERROR('2. Mentions légales'!B25,0)</f>
        <v/>
      </c>
      <c r="E7" s="9">
        <f>IFERROR('2. Mentions légales'!B26,0)</f>
        <v/>
      </c>
      <c r="F7" s="9">
        <f>IFERROR('2. Mentions légales'!B27,0)</f>
        <v/>
      </c>
      <c r="G7" s="31">
        <f>IFERROR(D7/(D7+E7),0)</f>
        <v/>
      </c>
    </row>
    <row r="8" ht="44" customHeight="1">
      <c r="A8" s="9" t="n">
        <v>3</v>
      </c>
      <c r="B8" s="10" t="inlineStr">
        <is>
          <t>Déclaration d'accessibilité</t>
        </is>
      </c>
      <c r="C8" s="11" t="inlineStr">
        <is>
          <t>Obligatoire</t>
        </is>
      </c>
      <c r="D8" s="9">
        <f>IFERROR('3. Déclaration a11y'!B25,0)</f>
        <v/>
      </c>
      <c r="E8" s="9">
        <f>IFERROR('3. Déclaration a11y'!B26,0)</f>
        <v/>
      </c>
      <c r="F8" s="9">
        <f>IFERROR('3. Déclaration a11y'!B27,0)</f>
        <v/>
      </c>
      <c r="G8" s="31">
        <f>IFERROR(D8/(D8+E8),0)</f>
        <v/>
      </c>
    </row>
    <row r="9" ht="44" customHeight="1">
      <c r="A9" s="9" t="n">
        <v>4</v>
      </c>
      <c r="B9" s="10" t="inlineStr">
        <is>
          <t>Page « Plan du site »</t>
        </is>
      </c>
      <c r="C9" s="11" t="inlineStr">
        <is>
          <t>Obligatoire</t>
        </is>
      </c>
      <c r="D9" s="9">
        <f>IFERROR('4. Plan du site'!B25,0)</f>
        <v/>
      </c>
      <c r="E9" s="9">
        <f>IFERROR('4. Plan du site'!B26,0)</f>
        <v/>
      </c>
      <c r="F9" s="9">
        <f>IFERROR('4. Plan du site'!B27,0)</f>
        <v/>
      </c>
      <c r="G9" s="31">
        <f>IFERROR(D9/(D9+E9),0)</f>
        <v/>
      </c>
    </row>
    <row r="10" ht="44" customHeight="1">
      <c r="A10" s="9" t="n">
        <v>5</v>
      </c>
      <c r="B10" s="10" t="inlineStr">
        <is>
          <t>Page « Contact »</t>
        </is>
      </c>
      <c r="C10" s="11" t="inlineStr">
        <is>
          <t>Obligatoire</t>
        </is>
      </c>
      <c r="D10" s="9">
        <f>IFERROR('5. Contact'!B25,0)</f>
        <v/>
      </c>
      <c r="E10" s="9">
        <f>IFERROR('5. Contact'!B26,0)</f>
        <v/>
      </c>
      <c r="F10" s="9">
        <f>IFERROR('5. Contact'!B27,0)</f>
        <v/>
      </c>
      <c r="G10" s="31">
        <f>IFERROR(D10/(D10+E10),0)</f>
        <v/>
      </c>
    </row>
    <row r="11" ht="44" customHeight="1">
      <c r="A11" s="9" t="n">
        <v>6</v>
      </c>
      <c r="B11" s="10" t="inlineStr">
        <is>
          <t>Page « Aide » / FAQ</t>
        </is>
      </c>
      <c r="C11" s="11" t="inlineStr">
        <is>
          <t>Obligatoire</t>
        </is>
      </c>
      <c r="D11" s="9">
        <f>IFERROR('6. Aide'!B25,0)</f>
        <v/>
      </c>
      <c r="E11" s="9">
        <f>IFERROR('6. Aide'!B26,0)</f>
        <v/>
      </c>
      <c r="F11" s="9">
        <f>IFERROR('6. Aide'!B27,0)</f>
        <v/>
      </c>
      <c r="G11" s="31">
        <f>IFERROR(D11/(D11+E11),0)</f>
        <v/>
      </c>
    </row>
    <row r="12" ht="44" customHeight="1">
      <c r="A12" s="9" t="n">
        <v>7</v>
      </c>
      <c r="B12" s="10" t="inlineStr">
        <is>
          <t>Page d'authentification / connexion</t>
        </is>
      </c>
      <c r="C12" s="12" t="inlineStr">
        <is>
          <t>Obligatoire si existante</t>
        </is>
      </c>
      <c r="D12" s="9">
        <f>IFERROR('7. Authentification'!B25,0)</f>
        <v/>
      </c>
      <c r="E12" s="9">
        <f>IFERROR('7. Authentification'!B26,0)</f>
        <v/>
      </c>
      <c r="F12" s="9">
        <f>IFERROR('7. Authentification'!B27,0)</f>
        <v/>
      </c>
      <c r="G12" s="31">
        <f>IFERROR(D12/(D12+E12),0)</f>
        <v/>
      </c>
    </row>
    <row r="13" ht="44" customHeight="1">
      <c r="A13" s="9" t="n">
        <v>8</v>
      </c>
      <c r="B13" s="10" t="inlineStr">
        <is>
          <t>Page de résultats de recherche</t>
        </is>
      </c>
      <c r="C13" s="12" t="inlineStr">
        <is>
          <t>Obligatoire si moteur</t>
        </is>
      </c>
      <c r="D13" s="9">
        <f>IFERROR('8. Recherche'!B25,0)</f>
        <v/>
      </c>
      <c r="E13" s="9">
        <f>IFERROR('8. Recherche'!B26,0)</f>
        <v/>
      </c>
      <c r="F13" s="9">
        <f>IFERROR('8. Recherche'!B27,0)</f>
        <v/>
      </c>
      <c r="G13" s="31">
        <f>IFERROR(D13/(D13+E13),0)</f>
        <v/>
      </c>
    </row>
    <row r="14" ht="44" customHeight="1">
      <c r="A14" s="9" t="n">
        <v>9</v>
      </c>
      <c r="B14" s="10" t="inlineStr">
        <is>
          <t>Document téléchargeable (PDF, DOCX, ODT)</t>
        </is>
      </c>
      <c r="C14" s="12" t="inlineStr">
        <is>
          <t>Obligatoire si présent</t>
        </is>
      </c>
      <c r="D14" s="9">
        <f>IFERROR('9. Document'!B25,0)</f>
        <v/>
      </c>
      <c r="E14" s="9">
        <f>IFERROR('9. Document'!B26,0)</f>
        <v/>
      </c>
      <c r="F14" s="9">
        <f>IFERROR('9. Document'!B27,0)</f>
        <v/>
      </c>
      <c r="G14" s="31">
        <f>IFERROR(D14/(D14+E14),0)</f>
        <v/>
      </c>
    </row>
    <row r="15" ht="44" customHeight="1">
      <c r="A15" s="9" t="n">
        <v>10</v>
      </c>
      <c r="B15" s="10" t="inlineStr">
        <is>
          <t>Page type : article, actualité ou contenu rédactionnel</t>
        </is>
      </c>
      <c r="C15" s="13" t="inlineStr">
        <is>
          <t>Représentative</t>
        </is>
      </c>
      <c r="D15" s="9">
        <f>IFERROR('10. Article'!B25,0)</f>
        <v/>
      </c>
      <c r="E15" s="9">
        <f>IFERROR('10. Article'!B26,0)</f>
        <v/>
      </c>
      <c r="F15" s="9">
        <f>IFERROR('10. Article'!B27,0)</f>
        <v/>
      </c>
      <c r="G15" s="31">
        <f>IFERROR(D15/(D15+E15),0)</f>
        <v/>
      </c>
    </row>
    <row r="16" ht="44" customHeight="1">
      <c r="A16" s="9" t="n">
        <v>11</v>
      </c>
      <c r="B16" s="10" t="inlineStr">
        <is>
          <t>Page type : formulaire de démarche ou saisie multi-étape</t>
        </is>
      </c>
      <c r="C16" s="13" t="inlineStr">
        <is>
          <t>Représentative</t>
        </is>
      </c>
      <c r="D16" s="9">
        <f>IFERROR('11. Formulaire'!B25,0)</f>
        <v/>
      </c>
      <c r="E16" s="9">
        <f>IFERROR('11. Formulaire'!B26,0)</f>
        <v/>
      </c>
      <c r="F16" s="9">
        <f>IFERROR('11. Formulaire'!B27,0)</f>
        <v/>
      </c>
      <c r="G16" s="31">
        <f>IFERROR(D16/(D16+E16),0)</f>
        <v/>
      </c>
    </row>
    <row r="17" ht="44" customHeight="1">
      <c r="A17" s="9" t="n">
        <v>12</v>
      </c>
      <c r="B17" s="10" t="inlineStr">
        <is>
          <t>Page type : liste / rubrique / résultats de navigation</t>
        </is>
      </c>
      <c r="C17" s="13" t="inlineStr">
        <is>
          <t>Représentative</t>
        </is>
      </c>
      <c r="D17" s="9">
        <f>IFERROR('12. Liste'!B25,0)</f>
        <v/>
      </c>
      <c r="E17" s="9">
        <f>IFERROR('12. Liste'!B26,0)</f>
        <v/>
      </c>
      <c r="F17" s="9">
        <f>IFERROR('12. Liste'!B27,0)</f>
        <v/>
      </c>
      <c r="G17" s="31">
        <f>IFERROR(D17/(D17+E17),0)</f>
        <v/>
      </c>
    </row>
    <row r="19" ht="32" customHeight="1">
      <c r="A19" s="22" t="inlineStr">
        <is>
          <t>Total</t>
        </is>
      </c>
      <c r="D19" s="32">
        <f>SUM(D6:D17)</f>
        <v/>
      </c>
      <c r="E19" s="32">
        <f>SUM(E6:E17)</f>
        <v/>
      </c>
      <c r="F19" s="32">
        <f>SUM(F6:F17)</f>
        <v/>
      </c>
      <c r="G19" s="33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102638 - Grille d'audit 13 Easy Checks</dc:title>
  <dc:subject xmlns:dc="http://purl.org/dc/elements/1.1/">Accessibilité numérique - 13 Easy Checks W3C alignés RGAA 4.1.2</dc:subject>
  <dc:language xmlns:dc="http://purl.org/dc/elements/1.1/">fr-FR</dc:language>
  <dcterms:created xmlns:dcterms="http://purl.org/dc/terms/" xmlns:xsi="http://www.w3.org/2001/XMLSchema-instance" xsi:type="dcterms:W3CDTF">2026-04-17T22:10:00Z</dcterms:created>
  <dcterms:modified xmlns:dcterms="http://purl.org/dc/terms/" xmlns:xsi="http://www.w3.org/2001/XMLSchema-instance" xsi:type="dcterms:W3CDTF">2026-04-17T22:10:00Z</dcterms:modified>
  <cp:keywords>IGPDE, 102638, accessibilité, RGAA, WCAG, Easy Checks, audit</cp:keywords>
</cp:coreProperties>
</file>